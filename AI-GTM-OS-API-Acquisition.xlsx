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PI Master List" sheetId="2" state="visible" r:id="rId2"/>
    <sheet name="Acquisition Plan" sheetId="3" state="visible" r:id="rId3"/>
    <sheet name="Prerequisites" sheetId="4" state="visible" r:id="rId4"/>
    <sheet name="Cost Model" sheetId="5" state="visible" r:id="rId5"/>
    <sheet name=".env Key Map" sheetId="6" state="visible" r:id="rId6"/>
  </sheets>
  <definedNames>
    <definedName name="_xlnm._FilterDatabase" localSheetId="1" hidden="1">'API Master List'!$A$1:$U$68</definedName>
    <definedName name="_xlnm._FilterDatabase" localSheetId="5" hidden="1">'.env Key Map'!$A$4:$E$197</definedName>
  </definedNames>
  <calcPr calcId="124519" fullCalcOnLoad="1"/>
</workbook>
</file>

<file path=xl/styles.xml><?xml version="1.0" encoding="utf-8"?>
<styleSheet xmlns="http://schemas.openxmlformats.org/spreadsheetml/2006/main">
  <numFmts count="2">
    <numFmt numFmtId="164" formatCode="&quot;$&quot;#,##0"/>
    <numFmt numFmtId="165" formatCode="yyyy-mm-dd"/>
  </numFmts>
  <fonts count="19">
    <font>
      <name val="Calibri"/>
      <family val="2"/>
      <color theme="1"/>
      <sz val="11"/>
      <scheme val="minor"/>
    </font>
    <font>
      <b val="1"/>
      <color rgb="FF3B2FA8"/>
      <sz val="18"/>
    </font>
    <font>
      <color rgb="FF555A70"/>
      <sz val="10"/>
    </font>
    <font>
      <color rgb="FF0B0D13"/>
      <sz val="11"/>
    </font>
    <font>
      <sz val="10"/>
    </font>
    <font>
      <b val="1"/>
      <color rgb="FF3B2FA8"/>
      <sz val="11"/>
    </font>
    <font>
      <b val="1"/>
      <color rgb="FF0B0D13"/>
      <sz val="11"/>
    </font>
    <font>
      <b val="1"/>
      <color rgb="FFFFFFFF"/>
      <sz val="10"/>
    </font>
    <font>
      <sz val="9"/>
    </font>
    <font>
      <b val="1"/>
      <sz val="9"/>
    </font>
    <font>
      <b val="1"/>
      <sz val="10"/>
    </font>
    <font>
      <color rgb="FF1155CC"/>
      <sz val="9"/>
      <u val="single"/>
    </font>
    <font>
      <b val="1"/>
    </font>
    <font>
      <b val="1"/>
      <color rgb="FF3B2FA8"/>
      <sz val="13"/>
    </font>
    <font>
      <b val="1"/>
      <sz val="11"/>
    </font>
    <font>
      <b val="1"/>
      <color rgb="FF3B2FA8"/>
      <sz val="12"/>
    </font>
    <font>
      <name val="Consolas"/>
      <sz val="9"/>
    </font>
    <font>
      <color rgb="FF999999"/>
      <sz val="9"/>
    </font>
    <font>
      <b val="1"/>
      <color rgb="FFA11616"/>
      <sz val="9"/>
    </font>
  </fonts>
  <fills count="17">
    <fill>
      <patternFill/>
    </fill>
    <fill>
      <patternFill patternType="gray125"/>
    </fill>
    <fill>
      <patternFill patternType="solid">
        <fgColor rgb="FF1C2133"/>
      </patternFill>
    </fill>
    <fill>
      <patternFill patternType="solid">
        <fgColor rgb="FFFFE0E0"/>
      </patternFill>
    </fill>
    <fill>
      <patternFill patternType="solid">
        <fgColor rgb="FFFFD9D9"/>
      </patternFill>
    </fill>
    <fill>
      <patternFill patternType="solid">
        <fgColor rgb="FFD9F2E3"/>
      </patternFill>
    </fill>
    <fill>
      <patternFill patternType="solid">
        <fgColor rgb="FFFFEDD5"/>
      </patternFill>
    </fill>
    <fill>
      <patternFill patternType="solid">
        <fgColor rgb="FFE6F4D9"/>
      </patternFill>
    </fill>
    <fill>
      <patternFill patternType="solid">
        <fgColor rgb="FFE3ECFF"/>
      </patternFill>
    </fill>
    <fill>
      <patternFill patternType="solid">
        <fgColor rgb="FFFFF2CC"/>
      </patternFill>
    </fill>
    <fill>
      <patternFill patternType="solid">
        <fgColor rgb="FFFDE0DC"/>
      </patternFill>
    </fill>
    <fill>
      <patternFill patternType="solid">
        <fgColor rgb="FFFFF0CC"/>
      </patternFill>
    </fill>
    <fill>
      <patternFill patternType="solid">
        <fgColor rgb="FFE0F2FE"/>
      </patternFill>
    </fill>
    <fill>
      <patternFill patternType="solid">
        <fgColor rgb="FFEFEFEF"/>
      </patternFill>
    </fill>
    <fill>
      <patternFill patternType="solid">
        <fgColor rgb="FFE9E4FF"/>
      </patternFill>
    </fill>
    <fill>
      <patternFill patternType="solid">
        <fgColor rgb="FFF1F1F1"/>
      </patternFill>
    </fill>
    <fill>
      <patternFill patternType="solid">
        <fgColor rgb="FFEFD9F7"/>
      </patternFill>
    </fill>
  </fills>
  <borders count="2">
    <border>
      <left/>
      <right/>
      <top/>
      <bottom/>
      <diagonal/>
    </border>
    <border>
      <left style="thin">
        <color rgb="FFD7D7E5"/>
      </left>
      <right style="thin">
        <color rgb="FFD7D7E5"/>
      </right>
      <top style="thin">
        <color rgb="FFD7D7E5"/>
      </top>
      <bottom style="thin">
        <color rgb="FFD7D7E5"/>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1" applyAlignment="1" pivotButton="0" quotePrefix="0" xfId="0">
      <alignment horizontal="left" vertical="center" wrapText="1"/>
    </xf>
    <xf numFmtId="0" fontId="8" fillId="0" borderId="1" applyAlignment="1" pivotButton="0" quotePrefix="0" xfId="0">
      <alignment horizontal="center" vertical="top"/>
    </xf>
    <xf numFmtId="0" fontId="9" fillId="3" borderId="1" applyAlignment="1" pivotButton="0" quotePrefix="0" xfId="0">
      <alignment horizontal="center" vertical="center"/>
    </xf>
    <xf numFmtId="0" fontId="8" fillId="0" borderId="1" applyAlignment="1" pivotButton="0" quotePrefix="0" xfId="0">
      <alignment vertical="top" wrapText="1"/>
    </xf>
    <xf numFmtId="0" fontId="10" fillId="0" borderId="1"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164" fontId="8" fillId="0" borderId="1" applyAlignment="1" pivotButton="0" quotePrefix="0" xfId="0">
      <alignment horizontal="right" vertical="top"/>
    </xf>
    <xf numFmtId="0" fontId="11" fillId="0" borderId="1" applyAlignment="1" pivotButton="0" quotePrefix="0" xfId="0">
      <alignment vertical="top" wrapText="1"/>
    </xf>
    <xf numFmtId="165" fontId="8" fillId="0" borderId="1" applyAlignment="1" pivotButton="0" quotePrefix="0" xfId="0">
      <alignment vertical="top" wrapText="1"/>
    </xf>
    <xf numFmtId="0" fontId="9" fillId="6" borderId="1" applyAlignment="1" pivotButton="0" quotePrefix="0" xfId="0">
      <alignment horizontal="center" vertical="center"/>
    </xf>
    <xf numFmtId="0" fontId="8" fillId="7" borderId="1" applyAlignment="1" pivotButton="0" quotePrefix="0" xfId="0">
      <alignment vertical="top" wrapText="1"/>
    </xf>
    <xf numFmtId="0" fontId="8" fillId="8" borderId="1" applyAlignment="1" pivotButton="0" quotePrefix="0" xfId="0">
      <alignment vertical="top" wrapText="1"/>
    </xf>
    <xf numFmtId="0" fontId="8" fillId="9" borderId="1" applyAlignment="1" pivotButton="0" quotePrefix="0" xfId="0">
      <alignment vertical="top" wrapText="1"/>
    </xf>
    <xf numFmtId="0" fontId="8" fillId="10" borderId="1" applyAlignment="1" pivotButton="0" quotePrefix="0" xfId="0">
      <alignment vertical="top" wrapText="1"/>
    </xf>
    <xf numFmtId="0" fontId="8" fillId="11" borderId="1" applyAlignment="1" pivotButton="0" quotePrefix="0" xfId="0">
      <alignment vertical="top" wrapText="1"/>
    </xf>
    <xf numFmtId="0" fontId="9" fillId="12" borderId="1" applyAlignment="1" pivotButton="0" quotePrefix="0" xfId="0">
      <alignment horizontal="center" vertical="center"/>
    </xf>
    <xf numFmtId="0" fontId="8" fillId="13" borderId="1" applyAlignment="1" pivotButton="0" quotePrefix="0" xfId="0">
      <alignment vertical="top" wrapText="1"/>
    </xf>
    <xf numFmtId="0" fontId="9" fillId="14" borderId="1" applyAlignment="1" pivotButton="0" quotePrefix="0" xfId="0">
      <alignment horizontal="center" vertical="center"/>
    </xf>
    <xf numFmtId="0" fontId="9" fillId="15" borderId="1" applyAlignment="1" pivotButton="0" quotePrefix="0" xfId="0">
      <alignment horizontal="center" vertical="center"/>
    </xf>
    <xf numFmtId="0" fontId="8" fillId="16" borderId="1" applyAlignment="1" pivotButton="0" quotePrefix="0" xfId="0">
      <alignment vertical="top" wrapText="1"/>
    </xf>
    <xf numFmtId="0" fontId="12" fillId="3" borderId="1" applyAlignment="1" pivotButton="0" quotePrefix="0" xfId="0">
      <alignment horizontal="center"/>
    </xf>
    <xf numFmtId="0" fontId="0" fillId="0" borderId="1" applyAlignment="1" pivotButton="0" quotePrefix="0" xfId="0">
      <alignment vertical="center" wrapText="1"/>
    </xf>
    <xf numFmtId="0" fontId="0" fillId="0" borderId="1" applyAlignment="1" pivotButton="0" quotePrefix="0" xfId="0">
      <alignment horizontal="center"/>
    </xf>
    <xf numFmtId="9" fontId="0" fillId="0" borderId="1" applyAlignment="1" pivotButton="0" quotePrefix="0" xfId="0">
      <alignment horizontal="center"/>
    </xf>
    <xf numFmtId="164" fontId="0" fillId="0" borderId="1" applyAlignment="1" pivotButton="0" quotePrefix="0" xfId="0">
      <alignment horizontal="center"/>
    </xf>
    <xf numFmtId="0" fontId="12" fillId="6" borderId="1" applyAlignment="1" pivotButton="0" quotePrefix="0" xfId="0">
      <alignment horizontal="center"/>
    </xf>
    <xf numFmtId="0" fontId="12" fillId="12" borderId="1" applyAlignment="1" pivotButton="0" quotePrefix="0" xfId="0">
      <alignment horizontal="center"/>
    </xf>
    <xf numFmtId="0" fontId="12" fillId="14" borderId="1" applyAlignment="1" pivotButton="0" quotePrefix="0" xfId="0">
      <alignment horizontal="center"/>
    </xf>
    <xf numFmtId="0" fontId="12" fillId="15" borderId="1" applyAlignment="1" pivotButton="0" quotePrefix="0" xfId="0">
      <alignment horizontal="center"/>
    </xf>
    <xf numFmtId="0" fontId="12" fillId="0" borderId="0" pivotButton="0" quotePrefix="0" xfId="0"/>
    <xf numFmtId="0" fontId="12" fillId="0" borderId="1" applyAlignment="1" pivotButton="0" quotePrefix="0" xfId="0">
      <alignment horizontal="center"/>
    </xf>
    <xf numFmtId="9" fontId="12" fillId="0" borderId="0" applyAlignment="1" pivotButton="0" quotePrefix="0" xfId="0">
      <alignment horizontal="center"/>
    </xf>
    <xf numFmtId="164" fontId="12" fillId="0" borderId="1" applyAlignment="1" pivotButton="0" quotePrefix="0" xfId="0">
      <alignment horizontal="center"/>
    </xf>
    <xf numFmtId="0" fontId="13" fillId="0" borderId="0" pivotButton="0" quotePrefix="0" xfId="0"/>
    <xf numFmtId="0" fontId="10" fillId="0" borderId="1" pivotButton="0" quotePrefix="0" xfId="0"/>
    <xf numFmtId="164" fontId="14" fillId="0" borderId="1" applyAlignment="1" pivotButton="0" quotePrefix="0" xfId="0">
      <alignment horizontal="right" vertical="center"/>
    </xf>
    <xf numFmtId="0" fontId="8" fillId="0" borderId="1" applyAlignment="1" pivotButton="0" quotePrefix="0" xfId="0">
      <alignment vertical="center" wrapText="1"/>
    </xf>
    <xf numFmtId="0" fontId="15" fillId="0" borderId="0" pivotButton="0" quotePrefix="0" xfId="0"/>
    <xf numFmtId="0" fontId="8" fillId="0" borderId="0" applyAlignment="1" pivotButton="0" quotePrefix="0" xfId="0">
      <alignment vertical="top"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8" fillId="4" borderId="1" applyAlignment="1" pivotButton="0" quotePrefix="0" xfId="0">
      <alignment vertical="center" wrapText="1"/>
    </xf>
    <xf numFmtId="0" fontId="9" fillId="0" borderId="1" applyAlignment="1" pivotButton="0" quotePrefix="0" xfId="0">
      <alignment vertical="center" wrapText="1"/>
    </xf>
  </cellXfs>
  <cellStyles count="1">
    <cellStyle name="Normal" xfId="0" builtinId="0" hidden="0"/>
  </cellStyles>
  <dxfs count="7">
    <dxf>
      <font>
        <b val="1"/>
        <color rgb="FF0B6B2E"/>
        <sz val="9"/>
      </font>
      <fill>
        <patternFill patternType="solid">
          <fgColor rgb="FFD1F0DB"/>
        </patternFill>
      </fill>
    </dxf>
    <dxf>
      <font>
        <b val="1"/>
        <color rgb="FF3F6212"/>
        <sz val="9"/>
      </font>
      <fill>
        <patternFill patternType="solid">
          <fgColor rgb="FFE2F5CC"/>
        </patternFill>
      </fill>
    </dxf>
    <dxf>
      <font>
        <b val="1"/>
        <color rgb="FF8A5B00"/>
        <sz val="9"/>
      </font>
      <fill>
        <patternFill patternType="solid">
          <fgColor rgb="FFFFF3C4"/>
        </patternFill>
      </fill>
    </dxf>
    <dxf>
      <font>
        <b val="1"/>
        <color rgb="FF1E40AF"/>
        <sz val="9"/>
      </font>
      <fill>
        <patternFill patternType="solid">
          <fgColor rgb="FFE0EEFF"/>
        </patternFill>
      </fill>
    </dxf>
    <dxf>
      <font>
        <b val="1"/>
        <color rgb="FFA11616"/>
        <sz val="9"/>
      </font>
      <fill>
        <patternFill patternType="solid">
          <fgColor rgb="FFFFD6D6"/>
        </patternFill>
      </fill>
    </dxf>
    <dxf>
      <font>
        <b val="1"/>
        <color rgb="FF6B21A8"/>
        <sz val="9"/>
      </font>
      <fill>
        <patternFill patternType="solid">
          <fgColor rgb="FFF3E8FF"/>
        </patternFill>
      </fill>
    </dxf>
    <dxf>
      <font>
        <b val="1"/>
        <color rgb="FF777777"/>
        <sz val="9"/>
      </font>
      <fill>
        <patternFill patternType="solid">
          <fgColor rgb="FF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onsole.anthropic.com/settings/keys" TargetMode="External" Id="rId1" /><Relationship Type="http://schemas.openxmlformats.org/officeDocument/2006/relationships/hyperlink" Target="https://docs.anthropic.com" TargetMode="External" Id="rId2" /><Relationship Type="http://schemas.openxmlformats.org/officeDocument/2006/relationships/hyperlink" Target="https://app.apollo.io/#/settings/integrations/api" TargetMode="External" Id="rId3" /><Relationship Type="http://schemas.openxmlformats.org/officeDocument/2006/relationships/hyperlink" Target="https://docs.apollo.io/reference" TargetMode="External" Id="rId4" /><Relationship Type="http://schemas.openxmlformats.org/officeDocument/2006/relationships/hyperlink" Target="https://www.millionverifier.com" TargetMode="External" Id="rId5" /><Relationship Type="http://schemas.openxmlformats.org/officeDocument/2006/relationships/hyperlink" Target="https://developer.millionverifier.com" TargetMode="External" Id="rId6" /><Relationship Type="http://schemas.openxmlformats.org/officeDocument/2006/relationships/hyperlink" Target="https://www.zerobounce.net" TargetMode="External" Id="rId7" /><Relationship Type="http://schemas.openxmlformats.org/officeDocument/2006/relationships/hyperlink" Target="https://www.zerobounce.net/docs/" TargetMode="External" Id="rId8" /><Relationship Type="http://schemas.openxmlformats.org/officeDocument/2006/relationships/hyperlink" Target="https://app.neverbounce.com" TargetMode="External" Id="rId9" /><Relationship Type="http://schemas.openxmlformats.org/officeDocument/2006/relationships/hyperlink" Target="https://developers.neverbounce.com" TargetMode="External" Id="rId10" /><Relationship Type="http://schemas.openxmlformats.org/officeDocument/2006/relationships/hyperlink" Target="https://app.instantly.ai" TargetMode="External" Id="rId11" /><Relationship Type="http://schemas.openxmlformats.org/officeDocument/2006/relationships/hyperlink" Target="https://developer.instantly.ai" TargetMode="External" Id="rId12" /><Relationship Type="http://schemas.openxmlformats.org/officeDocument/2006/relationships/hyperlink" Target="https://app.hubspot.com" TargetMode="External" Id="rId13" /><Relationship Type="http://schemas.openxmlformats.org/officeDocument/2006/relationships/hyperlink" Target="https://developers.hubspot.com/docs/api/overview" TargetMode="External" Id="rId14" /><Relationship Type="http://schemas.openxmlformats.org/officeDocument/2006/relationships/hyperlink" Target="https://dashboard.stripe.com/apikeys" TargetMode="External" Id="rId15" /><Relationship Type="http://schemas.openxmlformats.org/officeDocument/2006/relationships/hyperlink" Target="https://stripe.com/docs/api" TargetMode="External" Id="rId16" /><Relationship Type="http://schemas.openxmlformats.org/officeDocument/2006/relationships/hyperlink" Target="https://ads.google.com" TargetMode="External" Id="rId17" /><Relationship Type="http://schemas.openxmlformats.org/officeDocument/2006/relationships/hyperlink" Target="https://developers.google.com/google-ads/api/docs/start" TargetMode="External" Id="rId18" /><Relationship Type="http://schemas.openxmlformats.org/officeDocument/2006/relationships/hyperlink" Target="https://console.cloud.google.com" TargetMode="External" Id="rId19" /><Relationship Type="http://schemas.openxmlformats.org/officeDocument/2006/relationships/hyperlink" Target="https://developers.google.com/analytics/devguides/reporting/data/v1" TargetMode="External" Id="rId20" /><Relationship Type="http://schemas.openxmlformats.org/officeDocument/2006/relationships/hyperlink" Target="https://api.slack.com/apps" TargetMode="External" Id="rId21" /><Relationship Type="http://schemas.openxmlformats.org/officeDocument/2006/relationships/hyperlink" Target="https://api.slack.com/quickstart" TargetMode="External" Id="rId22" /><Relationship Type="http://schemas.openxmlformats.org/officeDocument/2006/relationships/hyperlink" Target="https://developers.facebook.com/apps" TargetMode="External" Id="rId23" /><Relationship Type="http://schemas.openxmlformats.org/officeDocument/2006/relationships/hyperlink" Target="https://developers.facebook.com/docs/marketing-apis" TargetMode="External" Id="rId24" /><Relationship Type="http://schemas.openxmlformats.org/officeDocument/2006/relationships/hyperlink" Target="https://firecrawl.dev" TargetMode="External" Id="rId25" /><Relationship Type="http://schemas.openxmlformats.org/officeDocument/2006/relationships/hyperlink" Target="https://docs.firecrawl.dev" TargetMode="External" Id="rId26" /><Relationship Type="http://schemas.openxmlformats.org/officeDocument/2006/relationships/hyperlink" Target="https://tavily.com" TargetMode="External" Id="rId27" /><Relationship Type="http://schemas.openxmlformats.org/officeDocument/2006/relationships/hyperlink" Target="https://docs.tavily.com" TargetMode="External" Id="rId28" /><Relationship Type="http://schemas.openxmlformats.org/officeDocument/2006/relationships/hyperlink" Target="https://serpapi.com/manage-api-key" TargetMode="External" Id="rId29" /><Relationship Type="http://schemas.openxmlformats.org/officeDocument/2006/relationships/hyperlink" Target="https://serpapi.com/search-api" TargetMode="External" Id="rId30" /><Relationship Type="http://schemas.openxmlformats.org/officeDocument/2006/relationships/hyperlink" Target="https://search.google.com/search-console" TargetMode="External" Id="rId31" /><Relationship Type="http://schemas.openxmlformats.org/officeDocument/2006/relationships/hyperlink" Target="https://developers.google.com/webmaster-tools" TargetMode="External" Id="rId32" /><Relationship Type="http://schemas.openxmlformats.org/officeDocument/2006/relationships/hyperlink" Target="https://resend.com/api-keys" TargetMode="External" Id="rId33" /><Relationship Type="http://schemas.openxmlformats.org/officeDocument/2006/relationships/hyperlink" Target="https://resend.com/docs" TargetMode="External" Id="rId34" /><Relationship Type="http://schemas.openxmlformats.org/officeDocument/2006/relationships/hyperlink" Target="https://console.cloud.google.com" TargetMode="External" Id="rId35" /><Relationship Type="http://schemas.openxmlformats.org/officeDocument/2006/relationships/hyperlink" Target="https://developers.google.com/gmail/api" TargetMode="External" Id="rId36" /><Relationship Type="http://schemas.openxmlformats.org/officeDocument/2006/relationships/hyperlink" Target="https://app.cal.com/settings/developer/api-keys" TargetMode="External" Id="rId37" /><Relationship Type="http://schemas.openxmlformats.org/officeDocument/2006/relationships/hyperlink" Target="https://cal.com/docs/api-reference" TargetMode="External" Id="rId38" /><Relationship Type="http://schemas.openxmlformats.org/officeDocument/2006/relationships/hyperlink" Target="https://hunter.io/api-keys" TargetMode="External" Id="rId39" /><Relationship Type="http://schemas.openxmlformats.org/officeDocument/2006/relationships/hyperlink" Target="https://hunter.io/api-documentation" TargetMode="External" Id="rId40" /><Relationship Type="http://schemas.openxmlformats.org/officeDocument/2006/relationships/hyperlink" Target="https://vercel.com/account/tokens" TargetMode="External" Id="rId41" /><Relationship Type="http://schemas.openxmlformats.org/officeDocument/2006/relationships/hyperlink" Target="https://vercel.com/docs/rest-api" TargetMode="External" Id="rId42" /><Relationship Type="http://schemas.openxmlformats.org/officeDocument/2006/relationships/hyperlink" Target="https://www.linkedin.com/developers/apps" TargetMode="External" Id="rId43" /><Relationship Type="http://schemas.openxmlformats.org/officeDocument/2006/relationships/hyperlink" Target="https://learn.microsoft.com/linkedin/marketing" TargetMode="External" Id="rId44" /><Relationship Type="http://schemas.openxmlformats.org/officeDocument/2006/relationships/hyperlink" Target="https://elevenlabs.io" TargetMode="External" Id="rId45" /><Relationship Type="http://schemas.openxmlformats.org/officeDocument/2006/relationships/hyperlink" Target="https://elevenlabs.io/docs" TargetMode="External" Id="rId46" /><Relationship Type="http://schemas.openxmlformats.org/officeDocument/2006/relationships/hyperlink" Target="https://fal.ai/dashboard/keys" TargetMode="External" Id="rId47" /><Relationship Type="http://schemas.openxmlformats.org/officeDocument/2006/relationships/hyperlink" Target="https://fal.ai/docs" TargetMode="External" Id="rId48" /><Relationship Type="http://schemas.openxmlformats.org/officeDocument/2006/relationships/hyperlink" Target="https://dev.runwayml.com" TargetMode="External" Id="rId49" /><Relationship Type="http://schemas.openxmlformats.org/officeDocument/2006/relationships/hyperlink" Target="https://docs.dev.runwayml.com" TargetMode="External" Id="rId50" /><Relationship Type="http://schemas.openxmlformats.org/officeDocument/2006/relationships/hyperlink" Target="https://higgsfield.ai" TargetMode="External" Id="rId51" /><Relationship Type="http://schemas.openxmlformats.org/officeDocument/2006/relationships/hyperlink" Target="https://higgsfield.ai" TargetMode="External" Id="rId52" /><Relationship Type="http://schemas.openxmlformats.org/officeDocument/2006/relationships/hyperlink" Target="https://console.cloud.google.com" TargetMode="External" Id="rId53" /><Relationship Type="http://schemas.openxmlformats.org/officeDocument/2006/relationships/hyperlink" Target="https://developers.google.com/youtube/v3" TargetMode="External" Id="rId54" /><Relationship Type="http://schemas.openxmlformats.org/officeDocument/2006/relationships/hyperlink" Target="https://www.ayrshare.com" TargetMode="External" Id="rId55" /><Relationship Type="http://schemas.openxmlformats.org/officeDocument/2006/relationships/hyperlink" Target="https://www.ayrshare.com/docs" TargetMode="External" Id="rId56" /><Relationship Type="http://schemas.openxmlformats.org/officeDocument/2006/relationships/hyperlink" Target="https://business-api.tiktok.com" TargetMode="External" Id="rId57" /><Relationship Type="http://schemas.openxmlformats.org/officeDocument/2006/relationships/hyperlink" Target="https://business-api.tiktok.com/portal/docs" TargetMode="External" Id="rId58" /><Relationship Type="http://schemas.openxmlformats.org/officeDocument/2006/relationships/hyperlink" Target="https://developers.facebook.com" TargetMode="External" Id="rId59" /><Relationship Type="http://schemas.openxmlformats.org/officeDocument/2006/relationships/hyperlink" Target="https://developers.facebook.com/docs/whatsapp/cloud-api" TargetMode="External" Id="rId60" /><Relationship Type="http://schemas.openxmlformats.org/officeDocument/2006/relationships/hyperlink" Target="https://app.dataforseo.com" TargetMode="External" Id="rId61" /><Relationship Type="http://schemas.openxmlformats.org/officeDocument/2006/relationships/hyperlink" Target="https://docs.dataforseo.com" TargetMode="External" Id="rId62" /><Relationship Type="http://schemas.openxmlformats.org/officeDocument/2006/relationships/hyperlink" Target="https://dashboard.voyageai.com" TargetMode="External" Id="rId63" /><Relationship Type="http://schemas.openxmlformats.org/officeDocument/2006/relationships/hyperlink" Target="https://docs.voyageai.com" TargetMode="External" Id="rId64" /><Relationship Type="http://schemas.openxmlformats.org/officeDocument/2006/relationships/hyperlink" Target="https://app.pinecone.io" TargetMode="External" Id="rId65" /><Relationship Type="http://schemas.openxmlformats.org/officeDocument/2006/relationships/hyperlink" Target="https://docs.pinecone.io" TargetMode="External" Id="rId66" /><Relationship Type="http://schemas.openxmlformats.org/officeDocument/2006/relationships/hyperlink" Target="https://app.sendgrid.com/settings/api_keys" TargetMode="External" Id="rId67" /><Relationship Type="http://schemas.openxmlformats.org/officeDocument/2006/relationships/hyperlink" Target="https://docs.sendgrid.com" TargetMode="External" Id="rId68" /><Relationship Type="http://schemas.openxmlformats.org/officeDocument/2006/relationships/hyperlink" Target="https://app.posthog.com" TargetMode="External" Id="rId69" /><Relationship Type="http://schemas.openxmlformats.org/officeDocument/2006/relationships/hyperlink" Target="https://posthog.com/docs" TargetMode="External" Id="rId70" /><Relationship Type="http://schemas.openxmlformats.org/officeDocument/2006/relationships/hyperlink" Target="https://admin.shopify.com" TargetMode="External" Id="rId71" /><Relationship Type="http://schemas.openxmlformats.org/officeDocument/2006/relationships/hyperlink" Target="https://shopify.dev/docs/api" TargetMode="External" Id="rId72" /><Relationship Type="http://schemas.openxmlformats.org/officeDocument/2006/relationships/hyperlink" Target="https://your-site.com/wp-admin" TargetMode="External" Id="rId73" /><Relationship Type="http://schemas.openxmlformats.org/officeDocument/2006/relationships/hyperlink" Target="https://developer.wordpress.org/rest-api" TargetMode="External" Id="rId74" /><Relationship Type="http://schemas.openxmlformats.org/officeDocument/2006/relationships/hyperlink" Target="https://webflow.com/dashboard" TargetMode="External" Id="rId75" /><Relationship Type="http://schemas.openxmlformats.org/officeDocument/2006/relationships/hyperlink" Target="https://developers.webflow.com" TargetMode="External" Id="rId76" /><Relationship Type="http://schemas.openxmlformats.org/officeDocument/2006/relationships/hyperlink" Target="https://sentry.io" TargetMode="External" Id="rId77" /><Relationship Type="http://schemas.openxmlformats.org/officeDocument/2006/relationships/hyperlink" Target="https://docs.sentry.io" TargetMode="External" Id="rId78" /><Relationship Type="http://schemas.openxmlformats.org/officeDocument/2006/relationships/hyperlink" Target="https://www.zoominfo.com" TargetMode="External" Id="rId79" /><Relationship Type="http://schemas.openxmlformats.org/officeDocument/2006/relationships/hyperlink" Target="https://api-docs.zoominfo.com" TargetMode="External" Id="rId80" /><Relationship Type="http://schemas.openxmlformats.org/officeDocument/2006/relationships/hyperlink" Target="https://clearbit.com" TargetMode="External" Id="rId81" /><Relationship Type="http://schemas.openxmlformats.org/officeDocument/2006/relationships/hyperlink" Target="https://developers.hubspot.com" TargetMode="External" Id="rId82" /><Relationship Type="http://schemas.openxmlformats.org/officeDocument/2006/relationships/hyperlink" Target="https://dashboard.peopledatalabs.com" TargetMode="External" Id="rId83" /><Relationship Type="http://schemas.openxmlformats.org/officeDocument/2006/relationships/hyperlink" Target="https://docs.peopledatalabs.com" TargetMode="External" Id="rId84" /><Relationship Type="http://schemas.openxmlformats.org/officeDocument/2006/relationships/hyperlink" Target="https://data.crunchbase.com" TargetMode="External" Id="rId85" /><Relationship Type="http://schemas.openxmlformats.org/officeDocument/2006/relationships/hyperlink" Target="https://data.crunchbase.com/docs" TargetMode="External" Id="rId86" /><Relationship Type="http://schemas.openxmlformats.org/officeDocument/2006/relationships/hyperlink" Target="https://api.builtwith.com" TargetMode="External" Id="rId87" /><Relationship Type="http://schemas.openxmlformats.org/officeDocument/2006/relationships/hyperlink" Target="https://api.builtwith.com" TargetMode="External" Id="rId88" /><Relationship Type="http://schemas.openxmlformats.org/officeDocument/2006/relationships/hyperlink" Target="https://nubela.co/proxycurl" TargetMode="External" Id="rId89" /><Relationship Type="http://schemas.openxmlformats.org/officeDocument/2006/relationships/hyperlink" Target="https://nubela.co/proxycurl/docs" TargetMode="External" Id="rId90" /><Relationship Type="http://schemas.openxmlformats.org/officeDocument/2006/relationships/hyperlink" Target="https://developer.salesforce.com" TargetMode="External" Id="rId91" /><Relationship Type="http://schemas.openxmlformats.org/officeDocument/2006/relationships/hyperlink" Target="https://developer.salesforce.com/docs" TargetMode="External" Id="rId92" /><Relationship Type="http://schemas.openxmlformats.org/officeDocument/2006/relationships/hyperlink" Target="https://app.pipedrive.com/settings/api" TargetMode="External" Id="rId93" /><Relationship Type="http://schemas.openxmlformats.org/officeDocument/2006/relationships/hyperlink" Target="https://developers.pipedrive.com" TargetMode="External" Id="rId94" /><Relationship Type="http://schemas.openxmlformats.org/officeDocument/2006/relationships/hyperlink" Target="https://portal.azure.com" TargetMode="External" Id="rId95" /><Relationship Type="http://schemas.openxmlformats.org/officeDocument/2006/relationships/hyperlink" Target="https://learn.microsoft.com/graph" TargetMode="External" Id="rId96" /><Relationship Type="http://schemas.openxmlformats.org/officeDocument/2006/relationships/hyperlink" Target="https://app.smartlead.ai" TargetMode="External" Id="rId97" /><Relationship Type="http://schemas.openxmlformats.org/officeDocument/2006/relationships/hyperlink" Target="https://api.smartlead.ai/reference" TargetMode="External" Id="rId98" /><Relationship Type="http://schemas.openxmlformats.org/officeDocument/2006/relationships/hyperlink" Target="https://app.lemlist.com" TargetMode="External" Id="rId99" /><Relationship Type="http://schemas.openxmlformats.org/officeDocument/2006/relationships/hyperlink" Target="https://developer.lemlist.com" TargetMode="External" Id="rId100" /><Relationship Type="http://schemas.openxmlformats.org/officeDocument/2006/relationships/hyperlink" Target="https://calendly.com/integrations/api_webhooks" TargetMode="External" Id="rId101" /><Relationship Type="http://schemas.openxmlformats.org/officeDocument/2006/relationships/hyperlink" Target="https://developer.calendly.com" TargetMode="External" Id="rId102" /><Relationship Type="http://schemas.openxmlformats.org/officeDocument/2006/relationships/hyperlink" Target="https://www.klaviyo.com" TargetMode="External" Id="rId103" /><Relationship Type="http://schemas.openxmlformats.org/officeDocument/2006/relationships/hyperlink" Target="https://developers.klaviyo.com" TargetMode="External" Id="rId104" /><Relationship Type="http://schemas.openxmlformats.org/officeDocument/2006/relationships/hyperlink" Target="https://mailchimp.com" TargetMode="External" Id="rId105" /><Relationship Type="http://schemas.openxmlformats.org/officeDocument/2006/relationships/hyperlink" Target="https://mailchimp.com/developer" TargetMode="External" Id="rId106" /><Relationship Type="http://schemas.openxmlformats.org/officeDocument/2006/relationships/hyperlink" Target="https://app.brevo.com" TargetMode="External" Id="rId107" /><Relationship Type="http://schemas.openxmlformats.org/officeDocument/2006/relationships/hyperlink" Target="https://developers.brevo.com" TargetMode="External" Id="rId108" /><Relationship Type="http://schemas.openxmlformats.org/officeDocument/2006/relationships/hyperlink" Target="https://console.twilio.com" TargetMode="External" Id="rId109" /><Relationship Type="http://schemas.openxmlformats.org/officeDocument/2006/relationships/hyperlink" Target="https://www.twilio.com/docs" TargetMode="External" Id="rId110" /><Relationship Type="http://schemas.openxmlformats.org/officeDocument/2006/relationships/hyperlink" Target="https://developer.x.com" TargetMode="External" Id="rId111" /><Relationship Type="http://schemas.openxmlformats.org/officeDocument/2006/relationships/hyperlink" Target="https://developer.x.com/en/docs/x-ads-api" TargetMode="External" Id="rId112" /><Relationship Type="http://schemas.openxmlformats.org/officeDocument/2006/relationships/hyperlink" Target="https://developers.tiktok.com" TargetMode="External" Id="rId113" /><Relationship Type="http://schemas.openxmlformats.org/officeDocument/2006/relationships/hyperlink" Target="https://developers.tiktok.com/doc/content-posting-api-get-started" TargetMode="External" Id="rId114" /><Relationship Type="http://schemas.openxmlformats.org/officeDocument/2006/relationships/hyperlink" Target="https://www.semrush.com/api-documentation/" TargetMode="External" Id="rId115" /><Relationship Type="http://schemas.openxmlformats.org/officeDocument/2006/relationships/hyperlink" Target="https://developer.semrush.com" TargetMode="External" Id="rId116" /><Relationship Type="http://schemas.openxmlformats.org/officeDocument/2006/relationships/hyperlink" Target="https://ahrefs.com/api" TargetMode="External" Id="rId117" /><Relationship Type="http://schemas.openxmlformats.org/officeDocument/2006/relationships/hyperlink" Target="https://ahrefs.com/api/documentation" TargetMode="External" Id="rId118" /><Relationship Type="http://schemas.openxmlformats.org/officeDocument/2006/relationships/hyperlink" Target="https://dashboard.exa.ai" TargetMode="External" Id="rId119" /><Relationship Type="http://schemas.openxmlformats.org/officeDocument/2006/relationships/hyperlink" Target="https://docs.exa.ai" TargetMode="External" Id="rId120" /><Relationship Type="http://schemas.openxmlformats.org/officeDocument/2006/relationships/hyperlink" Target="https://newsapi.org" TargetMode="External" Id="rId121" /><Relationship Type="http://schemas.openxmlformats.org/officeDocument/2006/relationships/hyperlink" Target="https://newsapi.org/docs" TargetMode="External" Id="rId122" /><Relationship Type="http://schemas.openxmlformats.org/officeDocument/2006/relationships/hyperlink" Target="https://app.segment.com" TargetMode="External" Id="rId123" /><Relationship Type="http://schemas.openxmlformats.org/officeDocument/2006/relationships/hyperlink" Target="https://segment.com/docs" TargetMode="External" Id="rId124" /><Relationship Type="http://schemas.openxmlformats.org/officeDocument/2006/relationships/hyperlink" Target="https://mixpanel.com" TargetMode="External" Id="rId125" /><Relationship Type="http://schemas.openxmlformats.org/officeDocument/2006/relationships/hyperlink" Target="https://developer.mixpanel.com" TargetMode="External" Id="rId126" /><Relationship Type="http://schemas.openxmlformats.org/officeDocument/2006/relationships/hyperlink" Target="https://app.vwo.com" TargetMode="External" Id="rId127" /><Relationship Type="http://schemas.openxmlformats.org/officeDocument/2006/relationships/hyperlink" Target="https://developers.vwo.com" TargetMode="External" Id="rId128" /><Relationship Type="http://schemas.openxmlformats.org/officeDocument/2006/relationships/hyperlink" Target="https://platform.openai.com/api-keys" TargetMode="External" Id="rId129" /><Relationship Type="http://schemas.openxmlformats.org/officeDocument/2006/relationships/hyperlink" Target="https://platform.openai.com/docs" TargetMode="External" Id="rId130" /><Relationship Type="http://schemas.openxmlformats.org/officeDocument/2006/relationships/hyperlink" Target="https://platform.stability.ai" TargetMode="External" Id="rId131" /><Relationship Type="http://schemas.openxmlformats.org/officeDocument/2006/relationships/hyperlink" Target="https://platform.stability.ai/docs" TargetMode="External" Id="rId132" /><Relationship Type="http://schemas.openxmlformats.org/officeDocument/2006/relationships/hyperlink" Target="https://aws.amazon.com/s3/" TargetMode="External" Id="rId133" /><Relationship Type="http://schemas.openxmlformats.org/officeDocument/2006/relationships/hyperlink" Target="https://docs.aws.amazon.com/s3/" TargetMode="External" Id="rId134" /></Relationships>
</file>

<file path=xl/worksheets/sheet1.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38" customWidth="1" min="1" max="1"/>
    <col width="22" customWidth="1" min="2" max="2"/>
    <col width="22" customWidth="1" min="3" max="3"/>
    <col width="22" customWidth="1" min="4" max="4"/>
    <col width="22" customWidth="1" min="5" max="5"/>
    <col width="22" customWidth="1" min="6" max="6"/>
  </cols>
  <sheetData>
    <row r="1" ht="28" customHeight="1">
      <c r="A1" s="1" t="inlineStr">
        <is>
          <t>AI GTM OS — API acquisition plan</t>
        </is>
      </c>
    </row>
    <row r="2" ht="30" customHeight="1">
      <c r="A2" s="2" t="inlineStr">
        <is>
          <t>Every third-party API the platform can connect to, in the order you should actually get them. Work top-down: finish the Prerequisites, then Phase P0 → P1 → P2 → P3. Track progress in the Status column of 'API Master List' — the Acquisition Plan sheet rolls it up automatically.</t>
        </is>
      </c>
    </row>
    <row r="4">
      <c r="A4" s="3" t="inlineStr"/>
      <c r="B4" s="4" t="inlineStr"/>
    </row>
    <row r="5" ht="30" customHeight="1">
      <c r="A5" s="5" t="inlineStr">
        <is>
          <t>THE ONE RULE</t>
        </is>
      </c>
      <c r="B5" s="4" t="inlineStr">
        <is>
          <t>Nothing here blocks you from using the product. Every provider left blank runs in SIMULATION mode, so the whole system is demoable today. You are buying REAL DATA and REAL EXECUTION, one channel at a time.</t>
        </is>
      </c>
    </row>
    <row r="6">
      <c r="A6" s="3" t="inlineStr"/>
      <c r="B6" s="4" t="inlineStr"/>
    </row>
    <row r="7">
      <c r="A7" s="6" t="inlineStr">
        <is>
          <t>START THESE ON DAY 1 (long lead times)</t>
        </is>
      </c>
      <c r="B7" s="4" t="inlineStr"/>
    </row>
    <row r="8" ht="30" customHeight="1">
      <c r="A8" s="6" t="inlineStr">
        <is>
          <t>1. Email sending domains + warmup</t>
        </is>
      </c>
      <c r="B8" s="4" t="inlineStr">
        <is>
          <t>2–3 WEEKS of warmup before you can send a single cold email. Longest pole in the project. Buy secondary domains today, create mailboxes, turn on warmup, then forget about it for 3 weeks.</t>
        </is>
      </c>
    </row>
    <row r="9">
      <c r="A9" s="6" t="inlineStr">
        <is>
          <t>2. Google Ads developer token</t>
        </is>
      </c>
      <c r="B9" s="4" t="inlineStr">
        <is>
          <t>Days to ~3 weeks of review. Apply the moment you have a Manager (MCC) account.</t>
        </is>
      </c>
    </row>
    <row r="10">
      <c r="A10" s="6" t="inlineStr">
        <is>
          <t>3. Meta Business Verification</t>
        </is>
      </c>
      <c r="B10" s="4" t="inlineStr">
        <is>
          <t>1–4 weeks. Unlocks Meta Ads advanced access, the Ad Library AND WhatsApp in one go.</t>
        </is>
      </c>
    </row>
    <row r="11">
      <c r="A11" s="6" t="inlineStr">
        <is>
          <t>4. LinkedIn Marketing API</t>
        </is>
      </c>
      <c r="B11" s="4" t="inlineStr">
        <is>
          <t>2–8 weeks and genuinely uncertain. Apply early; assume it may not land.</t>
        </is>
      </c>
    </row>
    <row r="12">
      <c r="A12" s="3" t="inlineStr"/>
      <c r="B12" s="4" t="inlineStr"/>
    </row>
    <row r="13">
      <c r="A13" s="5" t="inlineStr">
        <is>
          <t>PHASE LEGEND</t>
        </is>
      </c>
      <c r="B13" s="4" t="inlineStr"/>
    </row>
    <row r="14">
      <c r="A14" s="6" t="inlineStr">
        <is>
          <t>P0 — Day 1</t>
        </is>
      </c>
      <c r="B14" s="4" t="inlineStr">
        <is>
          <t>Anthropic only. ~$50 of credits and every one of the 38 agents starts reasoning for real.</t>
        </is>
      </c>
    </row>
    <row r="15" ht="30" customHeight="1">
      <c r="A15" s="6" t="inlineStr">
        <is>
          <t>P1 — Week 1</t>
        </is>
      </c>
      <c r="B15" s="4" t="inlineStr">
        <is>
          <t>The wedge: Apollo + verifier + Instantly (outbound) · Google Ads (paid) · HubSpot (CRM) · Stripe + GA4 (revenue truth). This is a complete, working revenue loop.</t>
        </is>
      </c>
    </row>
    <row r="16">
      <c r="A16" s="6" t="inlineStr">
        <is>
          <t>P2 — Week 2–4</t>
        </is>
      </c>
      <c r="B16" s="4" t="inlineStr">
        <is>
          <t>Second channel + research: Meta Ads, Firecrawl, Tavily, SerpApi, Search Console, Resend, Gmail, Cal.com.</t>
        </is>
      </c>
    </row>
    <row r="17">
      <c r="A17" s="6" t="inlineStr">
        <is>
          <t>P3 — Month 2–3</t>
        </is>
      </c>
      <c r="B17" s="4" t="inlineStr">
        <is>
          <t>Scale: LinkedIn, creative/video generation, YouTube, TikTok, WhatsApp, PostHog.</t>
        </is>
      </c>
    </row>
    <row r="18">
      <c r="A18" s="6" t="inlineStr">
        <is>
          <t>P4 — Later / optional</t>
        </is>
      </c>
      <c r="B18" s="4" t="inlineStr">
        <is>
          <t>Enterprise contracts (ZoomInfo, Semrush, Ahrefs) and alternatives you only need one of.</t>
        </is>
      </c>
    </row>
    <row r="19">
      <c r="A19" s="3" t="inlineStr"/>
      <c r="B19" s="4" t="inlineStr"/>
    </row>
    <row r="20" ht="30" customHeight="1">
      <c r="A20" s="5" t="inlineStr">
        <is>
          <t>'ALTERNATIVE' MEANS PICK ONE</t>
        </is>
      </c>
      <c r="B20" s="4" t="inlineStr">
        <is>
          <t>Rows marked Alternative are pick-one-of-a-group: one CRM, one ESP, one sending platform, one email verifier, one SEO suite, one analytics tool. Do not buy the whole column.</t>
        </is>
      </c>
    </row>
    <row r="21">
      <c r="A21" s="3" t="inlineStr"/>
      <c r="B21" s="4" t="inlineStr"/>
    </row>
    <row r="22" ht="30" customHeight="1">
      <c r="A22" s="5" t="inlineStr">
        <is>
          <t>MINIMUM VIABLE SPEND</t>
        </is>
      </c>
      <c r="B22" s="4" t="inlineStr">
        <is>
          <t>≈ $375/month of software gets the entire P0 + P1 loop running live on real data — Claude, Apollo, a verifier, Instantly, HubSpot, Stripe, GA4 and Google Ads. The ad budget itself is separate and will be the larger number. See the Cost Model sheet.</t>
        </is>
      </c>
    </row>
    <row r="23">
      <c r="A23" s="3" t="inlineStr"/>
      <c r="B23" s="4" t="inlineStr"/>
    </row>
    <row r="24" ht="30" customHeight="1">
      <c r="A24" s="5" t="inlineStr">
        <is>
          <t>WHERE THE KEYS GO</t>
        </is>
      </c>
      <c r="B24" s="4" t="inlineStr">
        <is>
          <t>Either paste them into the repo-root .env file (see '.env Key Map'), or enter them in the app at Integrations → click a provider → Save &amp; test. Generate CREDENTIALS_ENCRYPTION_KEY first so UI-entered keys are encrypted at rest.</t>
        </is>
      </c>
    </row>
    <row r="25">
      <c r="A25" s="3" t="inlineStr"/>
      <c r="B25" s="4" t="inlineStr"/>
    </row>
    <row r="26" ht="30" customHeight="1">
      <c r="A26" s="5" t="inlineStr">
        <is>
          <t>SAFETY BEFORE YOU CONNECT ADS</t>
        </is>
      </c>
      <c r="B26" s="4" t="inlineStr">
        <is>
          <t>Settings → Control &amp; guardrails: set the daily spend cap and leave 'AI can launch paid campaigns without approval' OFF until you trust the decision feed.</t>
        </is>
      </c>
    </row>
  </sheetData>
  <mergeCells count="25">
    <mergeCell ref="B4:F4"/>
    <mergeCell ref="B7:F7"/>
    <mergeCell ref="B16:F16"/>
    <mergeCell ref="B25:F25"/>
    <mergeCell ref="B22:F22"/>
    <mergeCell ref="B18:F18"/>
    <mergeCell ref="B21:F21"/>
    <mergeCell ref="A2:F2"/>
    <mergeCell ref="B12:F12"/>
    <mergeCell ref="B11:F11"/>
    <mergeCell ref="B23:F23"/>
    <mergeCell ref="B14:F14"/>
    <mergeCell ref="B8:F8"/>
    <mergeCell ref="B17:F17"/>
    <mergeCell ref="B13:F13"/>
    <mergeCell ref="B10:F10"/>
    <mergeCell ref="B19:F19"/>
    <mergeCell ref="B9:F9"/>
    <mergeCell ref="B6:F6"/>
    <mergeCell ref="B24:F24"/>
    <mergeCell ref="B20:F20"/>
    <mergeCell ref="B15:F15"/>
    <mergeCell ref="A1:F1"/>
    <mergeCell ref="B5:F5"/>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0" customWidth="1" min="3" max="3"/>
    <col width="22" customWidth="1" min="4" max="4"/>
    <col width="40" customWidth="1" min="5" max="5"/>
    <col width="13" customWidth="1" min="6" max="6"/>
    <col width="12" customWidth="1" min="7" max="7"/>
    <col width="14" customWidth="1" min="8" max="8"/>
    <col width="34" customWidth="1" min="9" max="9"/>
    <col width="26" customWidth="1" min="10" max="10"/>
    <col width="11" customWidth="1" min="11" max="11"/>
    <col width="22" customWidth="1" min="12" max="12"/>
    <col width="42" customWidth="1" min="13" max="13"/>
    <col width="42" customWidth="1" min="14" max="14"/>
    <col width="90" customWidth="1" min="15" max="15"/>
    <col width="40" customWidth="1" min="16" max="16"/>
    <col width="60" customWidth="1" min="17" max="17"/>
    <col width="14" customWidth="1" min="18" max="18"/>
    <col width="14" customWidth="1" min="19" max="19"/>
    <col width="13" customWidth="1" min="20" max="20"/>
    <col width="30" customWidth="1" min="21" max="21"/>
  </cols>
  <sheetData>
    <row r="1" ht="34" customHeight="1">
      <c r="A1" s="7" t="inlineStr">
        <is>
          <t>#</t>
        </is>
      </c>
      <c r="B1" s="7" t="inlineStr">
        <is>
          <t>Phase</t>
        </is>
      </c>
      <c r="C1" s="7" t="inlineStr">
        <is>
          <t>Category</t>
        </is>
      </c>
      <c r="D1" s="7" t="inlineStr">
        <is>
          <t>Provider</t>
        </is>
      </c>
      <c r="E1" s="7" t="inlineStr">
        <is>
          <t>What it powers</t>
        </is>
      </c>
      <c r="F1" s="7" t="inlineStr">
        <is>
          <t>Need</t>
        </is>
      </c>
      <c r="G1" s="7" t="inlineStr">
        <is>
          <t>Difficulty</t>
        </is>
      </c>
      <c r="H1" s="7" t="inlineStr">
        <is>
          <t>Lead time</t>
        </is>
      </c>
      <c r="I1" s="7" t="inlineStr">
        <is>
          <t>Prerequisite</t>
        </is>
      </c>
      <c r="J1" s="7" t="inlineStr">
        <is>
          <t>Cost model</t>
        </is>
      </c>
      <c r="K1" s="7" t="inlineStr">
        <is>
          <t>Est. $/mo</t>
        </is>
      </c>
      <c r="L1" s="7" t="inlineStr">
        <is>
          <t>Free tier</t>
        </is>
      </c>
      <c r="M1" s="7" t="inlineStr">
        <is>
          <t>Sign-up URL</t>
        </is>
      </c>
      <c r="N1" s="7" t="inlineStr">
        <is>
          <t>Docs URL</t>
        </is>
      </c>
      <c r="O1" s="7" t="inlineStr">
        <is>
          <t>How to acquire (steps)</t>
        </is>
      </c>
      <c r="P1" s="7" t="inlineStr">
        <is>
          <t>.env keys</t>
        </is>
      </c>
      <c r="Q1" s="7" t="inlineStr">
        <is>
          <t>Gotchas / watch-outs</t>
        </is>
      </c>
      <c r="R1" s="7" t="inlineStr">
        <is>
          <t>Status</t>
        </is>
      </c>
      <c r="S1" s="7" t="inlineStr">
        <is>
          <t>Owner</t>
        </is>
      </c>
      <c r="T1" s="7" t="inlineStr">
        <is>
          <t>Target date</t>
        </is>
      </c>
      <c r="U1" s="7" t="inlineStr">
        <is>
          <t>Notes</t>
        </is>
      </c>
    </row>
    <row r="2" ht="96" customHeight="1">
      <c r="A2" s="8" t="n">
        <v>1</v>
      </c>
      <c r="B2" s="9" t="inlineStr">
        <is>
          <t>P0</t>
        </is>
      </c>
      <c r="C2" s="10" t="inlineStr">
        <is>
          <t>AI Models</t>
        </is>
      </c>
      <c r="D2" s="11" t="inlineStr">
        <is>
          <t>Anthropic (Claude)</t>
        </is>
      </c>
      <c r="E2" s="10" t="inlineStr">
        <is>
          <t>Every agent's reasoning: AI CMO, ICP, copy, replies, decisions</t>
        </is>
      </c>
      <c r="F2" s="12" t="inlineStr">
        <is>
          <t>Required</t>
        </is>
      </c>
      <c r="G2" s="13" t="inlineStr">
        <is>
          <t>Instant</t>
        </is>
      </c>
      <c r="H2" s="10" t="inlineStr">
        <is>
          <t>5 minutes</t>
        </is>
      </c>
      <c r="I2" s="10" t="inlineStr">
        <is>
          <t>Email + card</t>
        </is>
      </c>
      <c r="J2" s="10" t="inlineStr">
        <is>
          <t>Prepaid credits, per-token</t>
        </is>
      </c>
      <c r="K2" s="14" t="n">
        <v>150</v>
      </c>
      <c r="L2" s="10" t="inlineStr">
        <is>
          <t>$5 trial credit</t>
        </is>
      </c>
      <c r="M2" s="15" t="inlineStr">
        <is>
          <t>https://console.anthropic.com/settings/keys</t>
        </is>
      </c>
      <c r="N2" s="15" t="inlineStr">
        <is>
          <t>https://docs.anthropic.com</t>
        </is>
      </c>
      <c r="O2" s="10" t="inlineStr">
        <is>
          <t>1) Sign up at console.anthropic.com. 2) Billing -&gt; add payment method, buy credits ($50 is plenty to start). 3) API Keys -&gt; Create Key -&gt; copy once (shown only once). 4) Paste into ANTHROPIC_API_KEY in .env. 5) Restart Django; the sidebar badge flips from 'Simulation mode' to 'Claude live'. 6) Optional: set a monthly spend limit under Billing -&gt; Limits.</t>
        </is>
      </c>
      <c r="P2" s="10" t="inlineStr">
        <is>
          <t>ANTHROPIC_API_KEY, ANTHROPIC_MODEL, ANTHROPIC_WORKER_MODEL</t>
        </is>
      </c>
      <c r="Q2" s="10" t="inlineStr">
        <is>
          <t>Set a spend limit before you let agents run on a schedule. Workspace-scoped keys let you separate dev/prod.</t>
        </is>
      </c>
      <c r="R2" s="10" t="inlineStr">
        <is>
          <t>Not started</t>
        </is>
      </c>
      <c r="S2" s="10" t="inlineStr"/>
      <c r="T2" s="16" t="inlineStr"/>
      <c r="U2" s="10" t="inlineStr"/>
    </row>
    <row r="3" ht="96" customHeight="1">
      <c r="A3" s="8" t="n">
        <v>2</v>
      </c>
      <c r="B3" s="17" t="inlineStr">
        <is>
          <t>P1</t>
        </is>
      </c>
      <c r="C3" s="10" t="inlineStr">
        <is>
          <t>Prospecting</t>
        </is>
      </c>
      <c r="D3" s="11" t="inlineStr">
        <is>
          <t>Apollo.io</t>
        </is>
      </c>
      <c r="E3" s="10" t="inlineStr">
        <is>
          <t>Lead Discovery + Lead Enrichment: find and enrich ICP accounts/contacts</t>
        </is>
      </c>
      <c r="F3" s="12" t="inlineStr">
        <is>
          <t>Required</t>
        </is>
      </c>
      <c r="G3" s="18" t="inlineStr">
        <is>
          <t>Easy</t>
        </is>
      </c>
      <c r="H3" s="10" t="inlineStr">
        <is>
          <t>Same day</t>
        </is>
      </c>
      <c r="I3" s="10" t="inlineStr">
        <is>
          <t>Work email (blocks free domains)</t>
        </is>
      </c>
      <c r="J3" s="10" t="inlineStr">
        <is>
          <t>Seat subscription; API on paid plans</t>
        </is>
      </c>
      <c r="K3" s="14" t="n">
        <v>99</v>
      </c>
      <c r="L3" s="10" t="inlineStr">
        <is>
          <t>Free plan exists, API limited</t>
        </is>
      </c>
      <c r="M3" s="15" t="inlineStr">
        <is>
          <t>https://app.apollo.io/#/settings/integrations/api</t>
        </is>
      </c>
      <c r="N3" s="15" t="inlineStr">
        <is>
          <t>https://docs.apollo.io/reference</t>
        </is>
      </c>
      <c r="O3" s="10" t="inlineStr">
        <is>
          <t>1) Sign up with a company email (Gmail/Outlook domains get rejected). 2) Upgrade to a plan with API access (Basic+ / Professional). 3) Settings -&gt; Integrations -&gt; API -&gt; Create new key. 4) Note your monthly credit allowance and per-endpoint rate limits. 5) Paste into APOLLO_API_KEY. 6) Confirm on /integrations -&gt; Apollo -&gt; Test connection.</t>
        </is>
      </c>
      <c r="P3" s="10" t="inlineStr">
        <is>
          <t>APOLLO_API_KEY</t>
        </is>
      </c>
      <c r="Q3" s="10" t="inlineStr">
        <is>
          <t>Export/enrichment credits are the real constraint, not rate limits. API access is gated behind paid tiers — check the current tier before buying.</t>
        </is>
      </c>
      <c r="R3" s="10" t="inlineStr">
        <is>
          <t>Not started</t>
        </is>
      </c>
      <c r="S3" s="10" t="inlineStr"/>
      <c r="T3" s="16" t="inlineStr"/>
      <c r="U3" s="10" t="inlineStr"/>
    </row>
    <row r="4" ht="96" customHeight="1">
      <c r="A4" s="8" t="n">
        <v>3</v>
      </c>
      <c r="B4" s="17" t="inlineStr">
        <is>
          <t>P1</t>
        </is>
      </c>
      <c r="C4" s="10" t="inlineStr">
        <is>
          <t>Email Verification</t>
        </is>
      </c>
      <c r="D4" s="11" t="inlineStr">
        <is>
          <t>MillionVerifier</t>
        </is>
      </c>
      <c r="E4" s="10" t="inlineStr">
        <is>
          <t>Lead Verification Agent: deliverability gate before any send</t>
        </is>
      </c>
      <c r="F4" s="12" t="inlineStr">
        <is>
          <t>Required</t>
        </is>
      </c>
      <c r="G4" s="13" t="inlineStr">
        <is>
          <t>Instant</t>
        </is>
      </c>
      <c r="H4" s="10" t="inlineStr">
        <is>
          <t>5 minutes</t>
        </is>
      </c>
      <c r="I4" s="10" t="inlineStr">
        <is>
          <t>None</t>
        </is>
      </c>
      <c r="J4" s="10" t="inlineStr">
        <is>
          <t>Pay-as-you-go credits (no expiry)</t>
        </is>
      </c>
      <c r="K4" s="14" t="n">
        <v>30</v>
      </c>
      <c r="L4" s="10" t="inlineStr">
        <is>
          <t>100 free credits</t>
        </is>
      </c>
      <c r="M4" s="15" t="inlineStr">
        <is>
          <t>https://www.millionverifier.com</t>
        </is>
      </c>
      <c r="N4" s="15" t="inlineStr">
        <is>
          <t>https://developer.millionverifier.com</t>
        </is>
      </c>
      <c r="O4" s="10" t="inlineStr">
        <is>
          <t>1) Sign up. 2) Buy a credit pack (10k credits is a cheap start — credits don't expire). 3) Dashboard -&gt; API -&gt; copy key. 4) Paste into MILLIONVERIFIER_API_KEY. 5) Keep EMAIL_VERIFICATION_WATERFALL ordered cheapest-first.</t>
        </is>
      </c>
      <c r="P4" s="10" t="inlineStr">
        <is>
          <t>MILLIONVERIFIER_API_KEY, EMAIL_VERIFICATION_WATERFALL</t>
        </is>
      </c>
      <c r="Q4" s="10" t="inlineStr">
        <is>
          <t>Cheapest of the three verifiers — good default. Pick ONE to start; the waterfall only needs a second provider once volume justifies it.</t>
        </is>
      </c>
      <c r="R4" s="10" t="inlineStr">
        <is>
          <t>Not started</t>
        </is>
      </c>
      <c r="S4" s="10" t="inlineStr"/>
      <c r="T4" s="16" t="inlineStr"/>
      <c r="U4" s="10" t="inlineStr"/>
    </row>
    <row r="5" ht="96" customHeight="1">
      <c r="A5" s="8" t="n">
        <v>4</v>
      </c>
      <c r="B5" s="17" t="inlineStr">
        <is>
          <t>P1</t>
        </is>
      </c>
      <c r="C5" s="10" t="inlineStr">
        <is>
          <t>Email Verification</t>
        </is>
      </c>
      <c r="D5" s="11" t="inlineStr">
        <is>
          <t>ZeroBounce</t>
        </is>
      </c>
      <c r="E5" s="10" t="inlineStr">
        <is>
          <t>Lead Verification Agent (waterfall step 1)</t>
        </is>
      </c>
      <c r="F5" s="19" t="inlineStr">
        <is>
          <t>Alternative</t>
        </is>
      </c>
      <c r="G5" s="13" t="inlineStr">
        <is>
          <t>Instant</t>
        </is>
      </c>
      <c r="H5" s="10" t="inlineStr">
        <is>
          <t>5 minutes</t>
        </is>
      </c>
      <c r="I5" s="10" t="inlineStr">
        <is>
          <t>None</t>
        </is>
      </c>
      <c r="J5" s="10" t="inlineStr">
        <is>
          <t>Credit packs or monthly</t>
        </is>
      </c>
      <c r="K5" s="14" t="n">
        <v>40</v>
      </c>
      <c r="L5" s="10" t="inlineStr">
        <is>
          <t>100 free/month</t>
        </is>
      </c>
      <c r="M5" s="15" t="inlineStr">
        <is>
          <t>https://www.zerobounce.net</t>
        </is>
      </c>
      <c r="N5" s="15" t="inlineStr">
        <is>
          <t>https://www.zerobounce.net/docs/</t>
        </is>
      </c>
      <c r="O5" s="10" t="inlineStr">
        <is>
          <t>1) Sign up. 2) Buy credits. 3) API -&gt; copy key. 4) Paste into ZEROBOUNCE_API_KEY.</t>
        </is>
      </c>
      <c r="P5" s="10" t="inlineStr">
        <is>
          <t>ZEROBOUNCE_API_KEY</t>
        </is>
      </c>
      <c r="Q5" s="10" t="inlineStr">
        <is>
          <t>Pick ONE verifier to start (ZeroBounce / NeverBounce / MillionVerifier). Adding all three only helps at scale.</t>
        </is>
      </c>
      <c r="R5" s="10" t="inlineStr">
        <is>
          <t>Not started</t>
        </is>
      </c>
      <c r="S5" s="10" t="inlineStr"/>
      <c r="T5" s="16" t="inlineStr"/>
      <c r="U5" s="10" t="inlineStr"/>
    </row>
    <row r="6" ht="96" customHeight="1">
      <c r="A6" s="8" t="n">
        <v>5</v>
      </c>
      <c r="B6" s="17" t="inlineStr">
        <is>
          <t>P1</t>
        </is>
      </c>
      <c r="C6" s="10" t="inlineStr">
        <is>
          <t>Email Verification</t>
        </is>
      </c>
      <c r="D6" s="11" t="inlineStr">
        <is>
          <t>NeverBounce</t>
        </is>
      </c>
      <c r="E6" s="10" t="inlineStr">
        <is>
          <t>Lead Verification Agent (waterfall step 2)</t>
        </is>
      </c>
      <c r="F6" s="19" t="inlineStr">
        <is>
          <t>Alternative</t>
        </is>
      </c>
      <c r="G6" s="13" t="inlineStr">
        <is>
          <t>Instant</t>
        </is>
      </c>
      <c r="H6" s="10" t="inlineStr">
        <is>
          <t>5 minutes</t>
        </is>
      </c>
      <c r="I6" s="10" t="inlineStr">
        <is>
          <t>None</t>
        </is>
      </c>
      <c r="J6" s="10" t="inlineStr">
        <is>
          <t>Pay-as-you-go</t>
        </is>
      </c>
      <c r="K6" s="14" t="n">
        <v>40</v>
      </c>
      <c r="L6" s="10" t="inlineStr">
        <is>
          <t>1,000 free on signup</t>
        </is>
      </c>
      <c r="M6" s="15" t="inlineStr">
        <is>
          <t>https://app.neverbounce.com</t>
        </is>
      </c>
      <c r="N6" s="15" t="inlineStr">
        <is>
          <t>https://developers.neverbounce.com</t>
        </is>
      </c>
      <c r="O6" s="10" t="inlineStr">
        <is>
          <t>1) Sign up. 2) Add credits. 3) Account -&gt; API -&gt; generate key. 4) Paste into NEVERBOUNCE_API_KEY.</t>
        </is>
      </c>
      <c r="P6" s="10" t="inlineStr">
        <is>
          <t>NEVERBOUNCE_API_KEY</t>
        </is>
      </c>
      <c r="Q6" s="10" t="inlineStr">
        <is>
          <t>Alternative to MillionVerifier/ZeroBounce — do not buy all three on day one.</t>
        </is>
      </c>
      <c r="R6" s="10" t="inlineStr">
        <is>
          <t>Not started</t>
        </is>
      </c>
      <c r="S6" s="10" t="inlineStr"/>
      <c r="T6" s="16" t="inlineStr"/>
      <c r="U6" s="10" t="inlineStr"/>
    </row>
    <row r="7" ht="96" customHeight="1">
      <c r="A7" s="8" t="n">
        <v>6</v>
      </c>
      <c r="B7" s="17" t="inlineStr">
        <is>
          <t>P1</t>
        </is>
      </c>
      <c r="C7" s="10" t="inlineStr">
        <is>
          <t>Outbound Sending</t>
        </is>
      </c>
      <c r="D7" s="11" t="inlineStr">
        <is>
          <t>Instantly</t>
        </is>
      </c>
      <c r="E7" s="10" t="inlineStr">
        <is>
          <t>AI Sequence Agent: mailbox rotation, warmup, throttled sends, reply capture</t>
        </is>
      </c>
      <c r="F7" s="12" t="inlineStr">
        <is>
          <t>Required</t>
        </is>
      </c>
      <c r="G7" s="20" t="inlineStr">
        <is>
          <t>Medium</t>
        </is>
      </c>
      <c r="H7" s="10" t="inlineStr">
        <is>
          <t>1-2 days setup, 2-3 weeks warmup</t>
        </is>
      </c>
      <c r="I7" s="10" t="inlineStr">
        <is>
          <t>Sending domains + mailboxes</t>
        </is>
      </c>
      <c r="J7" s="10" t="inlineStr">
        <is>
          <t>Per-seat + per-mailbox</t>
        </is>
      </c>
      <c r="K7" s="14" t="n">
        <v>97</v>
      </c>
      <c r="L7" s="10" t="inlineStr">
        <is>
          <t>14-day trial</t>
        </is>
      </c>
      <c r="M7" s="15" t="inlineStr">
        <is>
          <t>https://app.instantly.ai</t>
        </is>
      </c>
      <c r="N7" s="15" t="inlineStr">
        <is>
          <t>https://developer.instantly.ai</t>
        </is>
      </c>
      <c r="O7" s="10" t="inlineStr">
        <is>
          <t>1) Buy 2-3 lookalike sending domains (NOT your primary domain) e.g. get-acme.com, tryacme.com. 2) Create 2-3 mailboxes per domain in Google Workspace or Microsoft 365. 3) Set SPF, DKIM and DMARC on every domain. 4) Sign up for Instantly, connect all mailboxes, switch warmup ON and leave it for 2-3 weeks before real sends. 5) Settings -&gt; Integrations -&gt; API -&gt; copy key -&gt; INSTANTLY_API_KEY. 6) Keep OUTBOUND_DAILY_LIMIT_PER_MAILBOX at 30-40.</t>
        </is>
      </c>
      <c r="P7" s="10" t="inlineStr">
        <is>
          <t>INSTANTLY_API_KEY, OUTBOUND_PROVIDER, OUTBOUND_DAILY_LIMIT_PER_MAILBOX</t>
        </is>
      </c>
      <c r="Q7" s="10" t="inlineStr">
        <is>
          <t>WARMUP IS THE LONG POLE — start domains + warmup on day 1 even if everything else waits. Never send cold outbound from your primary domain. Check local law (GDPR/CAN-SPAM/CASL) for your target geos.</t>
        </is>
      </c>
      <c r="R7" s="10" t="inlineStr">
        <is>
          <t>Not started</t>
        </is>
      </c>
      <c r="S7" s="10" t="inlineStr"/>
      <c r="T7" s="16" t="inlineStr"/>
      <c r="U7" s="10" t="inlineStr"/>
    </row>
    <row r="8" ht="96" customHeight="1">
      <c r="A8" s="8" t="n">
        <v>7</v>
      </c>
      <c r="B8" s="17" t="inlineStr">
        <is>
          <t>P1</t>
        </is>
      </c>
      <c r="C8" s="10" t="inlineStr">
        <is>
          <t>CRM</t>
        </is>
      </c>
      <c r="D8" s="11" t="inlineStr">
        <is>
          <t>HubSpot</t>
        </is>
      </c>
      <c r="E8" s="10" t="inlineStr">
        <is>
          <t>CRM Agent + Attribution: contacts, companies, deals, notes, tasks</t>
        </is>
      </c>
      <c r="F8" s="12" t="inlineStr">
        <is>
          <t>Required</t>
        </is>
      </c>
      <c r="G8" s="18" t="inlineStr">
        <is>
          <t>Easy</t>
        </is>
      </c>
      <c r="H8" s="10" t="inlineStr">
        <is>
          <t>30 minutes</t>
        </is>
      </c>
      <c r="I8" s="10" t="inlineStr">
        <is>
          <t>HubSpot account (free tier works)</t>
        </is>
      </c>
      <c r="J8" s="10" t="inlineStr">
        <is>
          <t>Free CRM; paid for automation</t>
        </is>
      </c>
      <c r="K8" s="14" t="n">
        <v>0</v>
      </c>
      <c r="L8" s="10" t="inlineStr">
        <is>
          <t>Free CRM tier is enough</t>
        </is>
      </c>
      <c r="M8" s="15" t="inlineStr">
        <is>
          <t>https://app.hubspot.com</t>
        </is>
      </c>
      <c r="N8" s="15" t="inlineStr">
        <is>
          <t>https://developers.hubspot.com/docs/api/overview</t>
        </is>
      </c>
      <c r="O8" s="10" t="inlineStr">
        <is>
          <t>1) Create a free HubSpot account. 2) Settings -&gt; Integrations -&gt; Private Apps -&gt; Create private app. 3) Scopes: crm.objects.contacts/companies/deals read+write, crm.schemas read, plus tasks/notes (engagements). 4) Create app -&gt; copy the access token (shown once). 5) Paste into HUBSPOT_ACCESS_TOKEN and set CRM_PROVIDER=hubspot. 6) Test on /integrations -&gt; HubSpot.</t>
        </is>
      </c>
      <c r="P8" s="10" t="inlineStr">
        <is>
          <t>HUBSPOT_ACCESS_TOKEN, HUBSPOT_PORTAL_ID, CRM_PROVIDER</t>
        </is>
      </c>
      <c r="Q8" s="10" t="inlineStr">
        <is>
          <t>Private-app tokens are simpler than OAuth for a single workspace. If you add scopes later you must re-copy the token.</t>
        </is>
      </c>
      <c r="R8" s="10" t="inlineStr">
        <is>
          <t>Not started</t>
        </is>
      </c>
      <c r="S8" s="10" t="inlineStr"/>
      <c r="T8" s="16" t="inlineStr"/>
      <c r="U8" s="10" t="inlineStr"/>
    </row>
    <row r="9" ht="96" customHeight="1">
      <c r="A9" s="8" t="n">
        <v>8</v>
      </c>
      <c r="B9" s="17" t="inlineStr">
        <is>
          <t>P1</t>
        </is>
      </c>
      <c r="C9" s="10" t="inlineStr">
        <is>
          <t>Analytics &amp; Revenue</t>
        </is>
      </c>
      <c r="D9" s="11" t="inlineStr">
        <is>
          <t>Stripe</t>
        </is>
      </c>
      <c r="E9" s="10" t="inlineStr">
        <is>
          <t>Attribution + Revenue Intelligence: the closed-revenue source of truth</t>
        </is>
      </c>
      <c r="F9" s="12" t="inlineStr">
        <is>
          <t>Required</t>
        </is>
      </c>
      <c r="G9" s="13" t="inlineStr">
        <is>
          <t>Instant</t>
        </is>
      </c>
      <c r="H9" s="10" t="inlineStr">
        <is>
          <t>Same day (live keys need KYC)</t>
        </is>
      </c>
      <c r="I9" s="10" t="inlineStr">
        <is>
          <t>Registered business for live mode</t>
        </is>
      </c>
      <c r="J9" s="10" t="inlineStr">
        <is>
          <t>% of transactions (no API fee)</t>
        </is>
      </c>
      <c r="K9" s="14" t="n">
        <v>0</v>
      </c>
      <c r="L9" s="10" t="inlineStr">
        <is>
          <t>Test mode free forever</t>
        </is>
      </c>
      <c r="M9" s="15" t="inlineStr">
        <is>
          <t>https://dashboard.stripe.com/apikeys</t>
        </is>
      </c>
      <c r="N9" s="15" t="inlineStr">
        <is>
          <t>https://stripe.com/docs/api</t>
        </is>
      </c>
      <c r="O9" s="10" t="inlineStr">
        <is>
          <t>1) Create a Stripe account. 2) Developers -&gt; API keys -&gt; copy the SECRET key (sk_test_ for testing, sk_live_ after business verification). 3) Developers -&gt; Webhooks -&gt; add endpoint &lt;PUBLIC_API_URL&gt;/api/webhooks/stripe/ -&gt; copy the signing secret. 4) Paste STRIPE_SECRET_KEY + STRIPE_WEBHOOK_SECRET. 5) Start in test mode with seeded data.</t>
        </is>
      </c>
      <c r="P9" s="10" t="inlineStr">
        <is>
          <t>STRIPE_SECRET_KEY, STRIPE_WEBHOOK_SECRET</t>
        </is>
      </c>
      <c r="Q9" s="10" t="inlineStr">
        <is>
          <t>Use restricted keys (read-only on charges/subscriptions) rather than the full secret key. Skip if you don't bill through Stripe — use Shopify or CRM closed-won instead.</t>
        </is>
      </c>
      <c r="R9" s="10" t="inlineStr">
        <is>
          <t>Not started</t>
        </is>
      </c>
      <c r="S9" s="10" t="inlineStr"/>
      <c r="T9" s="16" t="inlineStr"/>
      <c r="U9" s="10" t="inlineStr"/>
    </row>
    <row r="10" ht="96" customHeight="1">
      <c r="A10" s="8" t="n">
        <v>9</v>
      </c>
      <c r="B10" s="17" t="inlineStr">
        <is>
          <t>P1</t>
        </is>
      </c>
      <c r="C10" s="10" t="inlineStr">
        <is>
          <t>Paid Media</t>
        </is>
      </c>
      <c r="D10" s="11" t="inlineStr">
        <is>
          <t>Google Ads</t>
        </is>
      </c>
      <c r="E10" s="10" t="inlineStr">
        <is>
          <t>Paid Media Agent + Autonomous Media Buyer: Search, Display, YouTube</t>
        </is>
      </c>
      <c r="F10" s="12" t="inlineStr">
        <is>
          <t>Required</t>
        </is>
      </c>
      <c r="G10" s="21" t="inlineStr">
        <is>
          <t>Hard</t>
        </is>
      </c>
      <c r="H10" s="10" t="inlineStr">
        <is>
          <t>1-3 weeks (token review)</t>
        </is>
      </c>
      <c r="I10" s="10" t="inlineStr">
        <is>
          <t>Google Ads account + Manager (MCC) + billing</t>
        </is>
      </c>
      <c r="J10" s="10" t="inlineStr">
        <is>
          <t>Ad spend only; API free</t>
        </is>
      </c>
      <c r="K10" s="14" t="n">
        <v>0</v>
      </c>
      <c r="L10" s="10" t="inlineStr">
        <is>
          <t>API is free; you pay media</t>
        </is>
      </c>
      <c r="M10" s="15" t="inlineStr">
        <is>
          <t>https://ads.google.com</t>
        </is>
      </c>
      <c r="N10" s="15" t="inlineStr">
        <is>
          <t>https://developers.google.com/google-ads/api/docs/start</t>
        </is>
      </c>
      <c r="O10" s="10" t="inlineStr">
        <is>
          <t>1) Create a Google Ads account AND a Manager (MCC) account; link the ad account to the MCC. Add billing. 2) In the MCC: Tools -&gt; Setup -&gt; API Center -&gt; apply for a developer token. You start with Test access. 3) Apply for Basic access: describe the tool, your company site, and how you comply with the Required Minimum Functionality policy. Review typically takes a few business days to ~3 weeks. 4) In Google Cloud Console: create a project, enable the Google Ads API, configure the OAuth consent screen, create an OAuth client ID (Desktop or Web). 5) Generate a refresh token (OAuth Playground with your own client ID, or the SDK's auth script). 6) Fill GOOGLE_ADS_DEVELOPER_TOKEN, CLIENT_ID, CLIENT_SECRET, REFRESH_TOKEN, LOGIN_CUSTOMER_ID (MCC, digits only), CUSTOMER_ID (target account, digits only).</t>
        </is>
      </c>
      <c r="P10" s="10" t="inlineStr">
        <is>
          <t>GOOGLE_ADS_DEVELOPER_TOKEN, GOOGLE_ADS_CLIENT_ID, GOOGLE_ADS_CLIENT_SECRET, GOOGLE_ADS_REFRESH_TOKEN, GOOGLE_ADS_LOGIN_CUSTOMER_ID, GOOGLE_ADS_CUSTOMER_ID</t>
        </is>
      </c>
      <c r="Q10" s="10" t="inlineStr">
        <is>
          <t>APPLY FOR THE DEVELOPER TOKEN ON DAY 1 — it is the slowest item in Week 1. Test access only works against test accounts, so you cannot touch real campaigns until Basic access lands. Customer IDs must have dashes stripped.</t>
        </is>
      </c>
      <c r="R10" s="10" t="inlineStr">
        <is>
          <t>Not started</t>
        </is>
      </c>
      <c r="S10" s="10" t="inlineStr"/>
      <c r="T10" s="16" t="inlineStr"/>
      <c r="U10" s="10" t="inlineStr"/>
    </row>
    <row r="11" ht="96" customHeight="1">
      <c r="A11" s="8" t="n">
        <v>10</v>
      </c>
      <c r="B11" s="17" t="inlineStr">
        <is>
          <t>P1</t>
        </is>
      </c>
      <c r="C11" s="10" t="inlineStr">
        <is>
          <t>Analytics &amp; Revenue</t>
        </is>
      </c>
      <c r="D11" s="11" t="inlineStr">
        <is>
          <t>Google Analytics 4</t>
        </is>
      </c>
      <c r="E11" s="10" t="inlineStr">
        <is>
          <t>Analytics Agent + CRO: traffic, conversions, journey stitching</t>
        </is>
      </c>
      <c r="F11" s="22" t="inlineStr">
        <is>
          <t>Recommended</t>
        </is>
      </c>
      <c r="G11" s="18" t="inlineStr">
        <is>
          <t>Easy</t>
        </is>
      </c>
      <c r="H11" s="10" t="inlineStr">
        <is>
          <t>1 hour</t>
        </is>
      </c>
      <c r="I11" s="10" t="inlineStr">
        <is>
          <t>GA4 property + Google Cloud project</t>
        </is>
      </c>
      <c r="J11" s="10" t="inlineStr">
        <is>
          <t>Free (GA4 standard)</t>
        </is>
      </c>
      <c r="K11" s="14" t="n">
        <v>0</v>
      </c>
      <c r="L11" s="10" t="inlineStr">
        <is>
          <t>Free</t>
        </is>
      </c>
      <c r="M11" s="15" t="inlineStr">
        <is>
          <t>https://console.cloud.google.com</t>
        </is>
      </c>
      <c r="N11" s="15" t="inlineStr">
        <is>
          <t>https://developers.google.com/analytics/devguides/reporting/data/v1</t>
        </is>
      </c>
      <c r="O11" s="10" t="inlineStr">
        <is>
          <t>1) Google Cloud Console -&gt; create/select a project -&gt; enable 'Google Analytics Data API'. 2) IAM -&gt; Service Accounts -&gt; create one -&gt; Keys -&gt; Add key -&gt; JSON -&gt; download. 3) In GA4 Admin -&gt; Property Access Management -&gt; add the service-account email as Viewer. 4) Copy the GA4 property ID (Admin -&gt; Property Settings, numeric). 5) Set GA4_PROPERTY_ID and GOOGLE_SERVICE_ACCOUNT_JSON_PATH (keep the JSON outside git).</t>
        </is>
      </c>
      <c r="P11" s="10" t="inlineStr">
        <is>
          <t>GA4_PROPERTY_ID, GOOGLE_SERVICE_ACCOUNT_JSON_PATH, GOOGLE_SERVICE_ACCOUNT_JSON</t>
        </is>
      </c>
      <c r="Q11" s="10" t="inlineStr">
        <is>
          <t>The same service account can also serve Search Console — reuse it. Never commit the JSON file.</t>
        </is>
      </c>
      <c r="R11" s="10" t="inlineStr">
        <is>
          <t>Not started</t>
        </is>
      </c>
      <c r="S11" s="10" t="inlineStr"/>
      <c r="T11" s="16" t="inlineStr"/>
      <c r="U11" s="10" t="inlineStr"/>
    </row>
    <row r="12" ht="96" customHeight="1">
      <c r="A12" s="8" t="n">
        <v>11</v>
      </c>
      <c r="B12" s="17" t="inlineStr">
        <is>
          <t>P1</t>
        </is>
      </c>
      <c r="C12" s="10" t="inlineStr">
        <is>
          <t>Alerts &amp; Ops</t>
        </is>
      </c>
      <c r="D12" s="11" t="inlineStr">
        <is>
          <t>Slack</t>
        </is>
      </c>
      <c r="E12" s="10" t="inlineStr">
        <is>
          <t>Compliance + AI CMO: approval requests and 'needs human sign-off' alerts</t>
        </is>
      </c>
      <c r="F12" s="22" t="inlineStr">
        <is>
          <t>Recommended</t>
        </is>
      </c>
      <c r="G12" s="18" t="inlineStr">
        <is>
          <t>Easy</t>
        </is>
      </c>
      <c r="H12" s="10" t="inlineStr">
        <is>
          <t>20 minutes</t>
        </is>
      </c>
      <c r="I12" s="10" t="inlineStr">
        <is>
          <t>Slack workspace admin</t>
        </is>
      </c>
      <c r="J12" s="10" t="inlineStr">
        <is>
          <t>Free</t>
        </is>
      </c>
      <c r="K12" s="14" t="n">
        <v>0</v>
      </c>
      <c r="L12" s="10" t="inlineStr">
        <is>
          <t>Free</t>
        </is>
      </c>
      <c r="M12" s="15" t="inlineStr">
        <is>
          <t>https://api.slack.com/apps</t>
        </is>
      </c>
      <c r="N12" s="15" t="inlineStr">
        <is>
          <t>https://api.slack.com/quickstart</t>
        </is>
      </c>
      <c r="O12" s="10" t="inlineStr">
        <is>
          <t>1) api.slack.com/apps -&gt; Create New App -&gt; From scratch. 2) OAuth &amp; Permissions -&gt; Bot Token Scopes: chat:write, chat:write.public, channels:read. 3) Install to Workspace -&gt; copy the Bot User OAuth Token (xoxb-...). 4) Invite the bot to your alerts channel. 5) Set SLACK_BOT_TOKEN and SLACK_ALERTS_CHANNEL.</t>
        </is>
      </c>
      <c r="P12" s="10" t="inlineStr">
        <is>
          <t>SLACK_BOT_TOKEN, SLACK_ALERTS_CHANNEL, SLACK_SIGNING_SECRET</t>
        </is>
      </c>
      <c r="Q12" s="10" t="inlineStr">
        <is>
          <t>Without this, approvals live only in the Command Centre — fine for one operator, painful for a team.</t>
        </is>
      </c>
      <c r="R12" s="10" t="inlineStr">
        <is>
          <t>Not started</t>
        </is>
      </c>
      <c r="S12" s="10" t="inlineStr"/>
      <c r="T12" s="16" t="inlineStr"/>
      <c r="U12" s="10" t="inlineStr"/>
    </row>
    <row r="13" ht="96" customHeight="1">
      <c r="A13" s="8" t="n">
        <v>12</v>
      </c>
      <c r="B13" s="23" t="inlineStr">
        <is>
          <t>P2</t>
        </is>
      </c>
      <c r="C13" s="10" t="inlineStr">
        <is>
          <t>Paid Media</t>
        </is>
      </c>
      <c r="D13" s="11" t="inlineStr">
        <is>
          <t>Meta Ads (Facebook + Instagram)</t>
        </is>
      </c>
      <c r="E13" s="10" t="inlineStr">
        <is>
          <t>Paid Media Agent, Creative Testing, Competitor ad monitoring (Ad Library)</t>
        </is>
      </c>
      <c r="F13" s="12" t="inlineStr">
        <is>
          <t>Required</t>
        </is>
      </c>
      <c r="G13" s="21" t="inlineStr">
        <is>
          <t>Hard</t>
        </is>
      </c>
      <c r="H13" s="10" t="inlineStr">
        <is>
          <t>1-4 weeks (verification)</t>
        </is>
      </c>
      <c r="I13" s="10" t="inlineStr">
        <is>
          <t>Meta Business Account + Page + verified business</t>
        </is>
      </c>
      <c r="J13" s="10" t="inlineStr">
        <is>
          <t>Ad spend only; API free</t>
        </is>
      </c>
      <c r="K13" s="14" t="n">
        <v>0</v>
      </c>
      <c r="L13" s="10" t="inlineStr">
        <is>
          <t>API free; you pay media</t>
        </is>
      </c>
      <c r="M13" s="15" t="inlineStr">
        <is>
          <t>https://developers.facebook.com/apps</t>
        </is>
      </c>
      <c r="N13" s="15" t="inlineStr">
        <is>
          <t>https://developers.facebook.com/docs/marketing-apis</t>
        </is>
      </c>
      <c r="O13" s="10" t="inlineStr">
        <is>
          <t>1) Create a Meta Business Account at business.facebook.com; add your Facebook Page, Instagram account and Ad Account. 2) START BUSINESS VERIFICATION IMMEDIATELY (Business Settings -&gt; Security Centre): you need your legal business name, registration/incorporation document and a document showing the business address or phone. This is the slow part. 3) developers.facebook.com -&gt; Create App -&gt; type 'Business' -&gt; link it to the Business Account. 4) Add the 'Marketing API' product. Development access works instantly on ad accounts you own. 5) Business Settings -&gt; Users -&gt; System Users -&gt; Add -&gt; Admin -&gt; Generate New Token. Scopes: ads_management, ads_read, business_management, pages_show_list, pages_manage_posts, instagram_basic, instagram_content_publish. 6) Assign the System User to the Ad Account, Page and Instagram account. 7) For live traffic at scale, submit App Review for Advanced Access on ads_management. 8) Fill META_APP_ID, META_APP_SECRET, META_ACCESS_TOKEN, META_AD_ACCOUNT_ID (act_ prefix), META_PAGE_ID, META_INSTAGRAM_ACCOUNT_ID, META_PIXEL_ID.</t>
        </is>
      </c>
      <c r="P13" s="10" t="inlineStr">
        <is>
          <t>META_APP_ID, META_APP_SECRET, META_ACCESS_TOKEN, META_AD_ACCOUNT_ID, META_PIXEL_ID, META_PAGE_ID, META_INSTAGRAM_ACCOUNT_ID, META_API_VERSION</t>
        </is>
      </c>
      <c r="Q13" s="10" t="inlineStr">
        <is>
          <t>Business Verification gates Advanced Access, WhatsApp Cloud API and the Ad Library — start it the same day you start Google Ads. Use a System User token (long-lived), never a personal user token. Ad account ID must keep the 'act_' prefix.</t>
        </is>
      </c>
      <c r="R13" s="10" t="inlineStr">
        <is>
          <t>Not started</t>
        </is>
      </c>
      <c r="S13" s="10" t="inlineStr"/>
      <c r="T13" s="16" t="inlineStr"/>
      <c r="U13" s="10" t="inlineStr"/>
    </row>
    <row r="14" ht="96" customHeight="1">
      <c r="A14" s="8" t="n">
        <v>13</v>
      </c>
      <c r="B14" s="23" t="inlineStr">
        <is>
          <t>P2</t>
        </is>
      </c>
      <c r="C14" s="10" t="inlineStr">
        <is>
          <t>SEO &amp; Research</t>
        </is>
      </c>
      <c r="D14" s="11" t="inlineStr">
        <is>
          <t>Firecrawl</t>
        </is>
      </c>
      <c r="E14" s="10" t="inlineStr">
        <is>
          <t>Business Intelligence + Competitor Intelligence: crawl site, docs, pricing, competitors</t>
        </is>
      </c>
      <c r="F14" s="22" t="inlineStr">
        <is>
          <t>Recommended</t>
        </is>
      </c>
      <c r="G14" s="13" t="inlineStr">
        <is>
          <t>Instant</t>
        </is>
      </c>
      <c r="H14" s="10" t="inlineStr">
        <is>
          <t>5 minutes</t>
        </is>
      </c>
      <c r="I14" s="10" t="inlineStr">
        <is>
          <t>None</t>
        </is>
      </c>
      <c r="J14" s="10" t="inlineStr">
        <is>
          <t>Credit-based monthly</t>
        </is>
      </c>
      <c r="K14" s="14" t="n">
        <v>19</v>
      </c>
      <c r="L14" s="10" t="inlineStr">
        <is>
          <t>500 free credits</t>
        </is>
      </c>
      <c r="M14" s="15" t="inlineStr">
        <is>
          <t>https://firecrawl.dev</t>
        </is>
      </c>
      <c r="N14" s="15" t="inlineStr">
        <is>
          <t>https://docs.firecrawl.dev</t>
        </is>
      </c>
      <c r="O14" s="10" t="inlineStr">
        <is>
          <t>1) Sign up. 2) Dashboard -&gt; API Keys -&gt; copy. 3) Paste into FIRECRAWL_API_KEY. 4) Run the Business Intelligence Agent to build the knowledge graph from your own site.</t>
        </is>
      </c>
      <c r="P14" s="10" t="inlineStr">
        <is>
          <t>FIRECRAWL_API_KEY</t>
        </is>
      </c>
      <c r="Q14" s="10" t="inlineStr">
        <is>
          <t>This is what turns the knowledge graph from seeded demo data into YOUR business. High leverage for the price.</t>
        </is>
      </c>
      <c r="R14" s="10" t="inlineStr">
        <is>
          <t>Not started</t>
        </is>
      </c>
      <c r="S14" s="10" t="inlineStr"/>
      <c r="T14" s="16" t="inlineStr"/>
      <c r="U14" s="10" t="inlineStr"/>
    </row>
    <row r="15" ht="96" customHeight="1">
      <c r="A15" s="8" t="n">
        <v>14</v>
      </c>
      <c r="B15" s="23" t="inlineStr">
        <is>
          <t>P2</t>
        </is>
      </c>
      <c r="C15" s="10" t="inlineStr">
        <is>
          <t>SEO &amp; Research</t>
        </is>
      </c>
      <c r="D15" s="11" t="inlineStr">
        <is>
          <t>Tavily</t>
        </is>
      </c>
      <c r="E15" s="10" t="inlineStr">
        <is>
          <t>Market Intelligence + AI Research Agent: live web research for prospect cards</t>
        </is>
      </c>
      <c r="F15" s="22" t="inlineStr">
        <is>
          <t>Recommended</t>
        </is>
      </c>
      <c r="G15" s="13" t="inlineStr">
        <is>
          <t>Instant</t>
        </is>
      </c>
      <c r="H15" s="10" t="inlineStr">
        <is>
          <t>5 minutes</t>
        </is>
      </c>
      <c r="I15" s="10" t="inlineStr">
        <is>
          <t>None</t>
        </is>
      </c>
      <c r="J15" s="10" t="inlineStr">
        <is>
          <t>Monthly API credits</t>
        </is>
      </c>
      <c r="K15" s="14" t="n">
        <v>30</v>
      </c>
      <c r="L15" s="10" t="inlineStr">
        <is>
          <t>1,000 free credits/mo</t>
        </is>
      </c>
      <c r="M15" s="15" t="inlineStr">
        <is>
          <t>https://tavily.com</t>
        </is>
      </c>
      <c r="N15" s="15" t="inlineStr">
        <is>
          <t>https://docs.tavily.com</t>
        </is>
      </c>
      <c r="O15" s="10" t="inlineStr">
        <is>
          <t>1) Sign up. 2) Copy the API key from the dashboard home. 3) Paste into TAVILY_API_KEY.</t>
        </is>
      </c>
      <c r="P15" s="10" t="inlineStr">
        <is>
          <t>TAVILY_API_KEY</t>
        </is>
      </c>
      <c r="Q15" s="10" t="inlineStr">
        <is>
          <t>Built for LLM agents — cleaner results than raw search scraping. Exa is the alternative; you don't need both.</t>
        </is>
      </c>
      <c r="R15" s="10" t="inlineStr">
        <is>
          <t>Not started</t>
        </is>
      </c>
      <c r="S15" s="10" t="inlineStr"/>
      <c r="T15" s="16" t="inlineStr"/>
      <c r="U15" s="10" t="inlineStr"/>
    </row>
    <row r="16" ht="96" customHeight="1">
      <c r="A16" s="8" t="n">
        <v>15</v>
      </c>
      <c r="B16" s="23" t="inlineStr">
        <is>
          <t>P2</t>
        </is>
      </c>
      <c r="C16" s="10" t="inlineStr">
        <is>
          <t>SEO &amp; Research</t>
        </is>
      </c>
      <c r="D16" s="11" t="inlineStr">
        <is>
          <t>SerpApi</t>
        </is>
      </c>
      <c r="E16" s="10" t="inlineStr">
        <is>
          <t>SEO Agent: SERP rank monitoring and competitor SERP analysis</t>
        </is>
      </c>
      <c r="F16" s="22" t="inlineStr">
        <is>
          <t>Recommended</t>
        </is>
      </c>
      <c r="G16" s="13" t="inlineStr">
        <is>
          <t>Instant</t>
        </is>
      </c>
      <c r="H16" s="10" t="inlineStr">
        <is>
          <t>5 minutes</t>
        </is>
      </c>
      <c r="I16" s="10" t="inlineStr">
        <is>
          <t>None</t>
        </is>
      </c>
      <c r="J16" s="10" t="inlineStr">
        <is>
          <t>Searches/month</t>
        </is>
      </c>
      <c r="K16" s="14" t="n">
        <v>75</v>
      </c>
      <c r="L16" s="10" t="inlineStr">
        <is>
          <t>100 free searches/mo</t>
        </is>
      </c>
      <c r="M16" s="15" t="inlineStr">
        <is>
          <t>https://serpapi.com/manage-api-key</t>
        </is>
      </c>
      <c r="N16" s="15" t="inlineStr">
        <is>
          <t>https://serpapi.com/search-api</t>
        </is>
      </c>
      <c r="O16" s="10" t="inlineStr">
        <is>
          <t>1) Sign up. 2) Dashboard -&gt; API Key -&gt; copy. 3) Paste into SERPAPI_API_KEY.</t>
        </is>
      </c>
      <c r="P16" s="10" t="inlineStr">
        <is>
          <t>SERPAPI_API_KEY</t>
        </is>
      </c>
      <c r="Q16" s="10" t="inlineStr">
        <is>
          <t>DataForSEO is cheaper at volume but clunkier. Start here, switch if SERP tracking becomes your biggest line item.</t>
        </is>
      </c>
      <c r="R16" s="10" t="inlineStr">
        <is>
          <t>Not started</t>
        </is>
      </c>
      <c r="S16" s="10" t="inlineStr"/>
      <c r="T16" s="16" t="inlineStr"/>
      <c r="U16" s="10" t="inlineStr"/>
    </row>
    <row r="17" ht="96" customHeight="1">
      <c r="A17" s="8" t="n">
        <v>16</v>
      </c>
      <c r="B17" s="23" t="inlineStr">
        <is>
          <t>P2</t>
        </is>
      </c>
      <c r="C17" s="10" t="inlineStr">
        <is>
          <t>Analytics &amp; Revenue</t>
        </is>
      </c>
      <c r="D17" s="11" t="inlineStr">
        <is>
          <t>Google Search Console</t>
        </is>
      </c>
      <c r="E17" s="10" t="inlineStr">
        <is>
          <t>SEO Agent: real ranking + query data for your own domain</t>
        </is>
      </c>
      <c r="F17" s="22" t="inlineStr">
        <is>
          <t>Recommended</t>
        </is>
      </c>
      <c r="G17" s="18" t="inlineStr">
        <is>
          <t>Easy</t>
        </is>
      </c>
      <c r="H17" s="10" t="inlineStr">
        <is>
          <t>1 hour (+ up to 48h data lag)</t>
        </is>
      </c>
      <c r="I17" s="10" t="inlineStr">
        <is>
          <t>Verified domain ownership</t>
        </is>
      </c>
      <c r="J17" s="10" t="inlineStr">
        <is>
          <t>Free</t>
        </is>
      </c>
      <c r="K17" s="14" t="n">
        <v>0</v>
      </c>
      <c r="L17" s="10" t="inlineStr">
        <is>
          <t>Free</t>
        </is>
      </c>
      <c r="M17" s="15" t="inlineStr">
        <is>
          <t>https://search.google.com/search-console</t>
        </is>
      </c>
      <c r="N17" s="15" t="inlineStr">
        <is>
          <t>https://developers.google.com/webmaster-tools</t>
        </is>
      </c>
      <c r="O17" s="10" t="inlineStr">
        <is>
          <t>1) Add and verify your property in Search Console (DNS TXT record is the most robust). 2) Enable the 'Google Search Console API' in the SAME Google Cloud project you used for GA4. 3) Add the GA4 service-account email as a user on the Search Console property. 4) Set GSC_SITE_URL (exactly as shown in Search Console, including https:// and trailing slash where relevant).</t>
        </is>
      </c>
      <c r="P17" s="10" t="inlineStr">
        <is>
          <t>GSC_SITE_URL, GOOGLE_SERVICE_ACCOUNT_JSON_PATH</t>
        </is>
      </c>
      <c r="Q17" s="10" t="inlineStr">
        <is>
          <t>Reuses the GA4 service account — no second key needed. URL string must match the property exactly.</t>
        </is>
      </c>
      <c r="R17" s="10" t="inlineStr">
        <is>
          <t>Not started</t>
        </is>
      </c>
      <c r="S17" s="10" t="inlineStr"/>
      <c r="T17" s="16" t="inlineStr"/>
      <c r="U17" s="10" t="inlineStr"/>
    </row>
    <row r="18" ht="96" customHeight="1">
      <c r="A18" s="8" t="n">
        <v>17</v>
      </c>
      <c r="B18" s="23" t="inlineStr">
        <is>
          <t>P2</t>
        </is>
      </c>
      <c r="C18" s="10" t="inlineStr">
        <is>
          <t>Email Marketing</t>
        </is>
      </c>
      <c r="D18" s="11" t="inlineStr">
        <is>
          <t>Resend</t>
        </is>
      </c>
      <c r="E18" s="10" t="inlineStr">
        <is>
          <t>Email Marketing + Lifecycle Agent: nurture, newsletters, transactional</t>
        </is>
      </c>
      <c r="F18" s="22" t="inlineStr">
        <is>
          <t>Recommended</t>
        </is>
      </c>
      <c r="G18" s="18" t="inlineStr">
        <is>
          <t>Easy</t>
        </is>
      </c>
      <c r="H18" s="10" t="inlineStr">
        <is>
          <t>1 day (DNS)</t>
        </is>
      </c>
      <c r="I18" s="10" t="inlineStr">
        <is>
          <t>A domain you control</t>
        </is>
      </c>
      <c r="J18" s="10" t="inlineStr">
        <is>
          <t>Emails/month</t>
        </is>
      </c>
      <c r="K18" s="14" t="n">
        <v>20</v>
      </c>
      <c r="L18" s="10" t="inlineStr">
        <is>
          <t>3,000 emails/mo free</t>
        </is>
      </c>
      <c r="M18" s="15" t="inlineStr">
        <is>
          <t>https://resend.com/api-keys</t>
        </is>
      </c>
      <c r="N18" s="15" t="inlineStr">
        <is>
          <t>https://resend.com/docs</t>
        </is>
      </c>
      <c r="O18" s="10" t="inlineStr">
        <is>
          <t>1) Sign up. 2) Domains -&gt; Add domain -&gt; add the DKIM/SPF records to your DNS -&gt; wait for verification. 3) API Keys -&gt; Create -&gt; copy. 4) Set RESEND_API_KEY, ESP_PROVIDER=resend, DEFAULT_FROM_EMAIL.</t>
        </is>
      </c>
      <c r="P18" s="10" t="inlineStr">
        <is>
          <t>RESEND_API_KEY, ESP_PROVIDER, DEFAULT_FROM_EMAIL</t>
        </is>
      </c>
      <c r="Q18" s="10" t="inlineStr">
        <is>
          <t>This is MARKETING email (opted-in lists) — separate from cold outbound, which goes through Instantly on separate domains. Never mix the two on one domain.</t>
        </is>
      </c>
      <c r="R18" s="10" t="inlineStr">
        <is>
          <t>Not started</t>
        </is>
      </c>
      <c r="S18" s="10" t="inlineStr"/>
      <c r="T18" s="16" t="inlineStr"/>
      <c r="U18" s="10" t="inlineStr"/>
    </row>
    <row r="19" ht="96" customHeight="1">
      <c r="A19" s="8" t="n">
        <v>18</v>
      </c>
      <c r="B19" s="23" t="inlineStr">
        <is>
          <t>P2</t>
        </is>
      </c>
      <c r="C19" s="10" t="inlineStr">
        <is>
          <t>Outbound Sending</t>
        </is>
      </c>
      <c r="D19" s="11" t="inlineStr">
        <is>
          <t>Gmail API</t>
        </is>
      </c>
      <c r="E19" s="10" t="inlineStr">
        <is>
          <t>Reply Intelligence + AI SDR: read replies, send from the founder's real mailbox</t>
        </is>
      </c>
      <c r="F19" s="22" t="inlineStr">
        <is>
          <t>Recommended</t>
        </is>
      </c>
      <c r="G19" s="20" t="inlineStr">
        <is>
          <t>Medium</t>
        </is>
      </c>
      <c r="H19" s="10" t="inlineStr">
        <is>
          <t>1-3 days</t>
        </is>
      </c>
      <c r="I19" s="10" t="inlineStr">
        <is>
          <t>Google Workspace account</t>
        </is>
      </c>
      <c r="J19" s="10" t="inlineStr">
        <is>
          <t>Free (Workspace seat)</t>
        </is>
      </c>
      <c r="K19" s="14" t="n">
        <v>0</v>
      </c>
      <c r="L19" s="10" t="inlineStr">
        <is>
          <t>Free with Workspace</t>
        </is>
      </c>
      <c r="M19" s="15" t="inlineStr">
        <is>
          <t>https://console.cloud.google.com</t>
        </is>
      </c>
      <c r="N19" s="15" t="inlineStr">
        <is>
          <t>https://developers.google.com/gmail/api</t>
        </is>
      </c>
      <c r="O19" s="10" t="inlineStr">
        <is>
          <t>1) Google Cloud Console -&gt; enable the Gmail API. 2) Configure the OAuth consent screen (Internal if Workspace — avoids Google verification; External needs review for restricted scopes). 3) Create an OAuth client ID. 4) Consent with scopes gmail.readonly + gmail.send and capture the refresh token. 5) Fill GMAIL_CLIENT_ID, GMAIL_CLIENT_SECRET, GMAIL_REFRESH_TOKEN.</t>
        </is>
      </c>
      <c r="P19" s="10" t="inlineStr">
        <is>
          <t>GMAIL_CLIENT_ID, GMAIL_CLIENT_SECRET, GMAIL_REFRESH_TOKEN</t>
        </is>
      </c>
      <c r="Q19" s="10" t="inlineStr">
        <is>
          <t>Choose 'Internal' on the consent screen if you're on Workspace — External + restricted scopes triggers a security assessment that can take weeks. Use Microsoft Graph instead if you're a Microsoft 365 shop.</t>
        </is>
      </c>
      <c r="R19" s="10" t="inlineStr">
        <is>
          <t>Not started</t>
        </is>
      </c>
      <c r="S19" s="10" t="inlineStr"/>
      <c r="T19" s="16" t="inlineStr"/>
      <c r="U19" s="10" t="inlineStr"/>
    </row>
    <row r="20" ht="96" customHeight="1">
      <c r="A20" s="8" t="n">
        <v>19</v>
      </c>
      <c r="B20" s="23" t="inlineStr">
        <is>
          <t>P2</t>
        </is>
      </c>
      <c r="C20" s="10" t="inlineStr">
        <is>
          <t>Outbound Sending</t>
        </is>
      </c>
      <c r="D20" s="11" t="inlineStr">
        <is>
          <t>Cal.com</t>
        </is>
      </c>
      <c r="E20" s="10" t="inlineStr">
        <is>
          <t>AI SDR: meeting booking links and confirmed-slot capture</t>
        </is>
      </c>
      <c r="F20" s="22" t="inlineStr">
        <is>
          <t>Recommended</t>
        </is>
      </c>
      <c r="G20" s="13" t="inlineStr">
        <is>
          <t>Instant</t>
        </is>
      </c>
      <c r="H20" s="10" t="inlineStr">
        <is>
          <t>15 minutes</t>
        </is>
      </c>
      <c r="I20" s="10" t="inlineStr">
        <is>
          <t>Calendar connected</t>
        </is>
      </c>
      <c r="J20" s="10" t="inlineStr">
        <is>
          <t>Free self-serve tier</t>
        </is>
      </c>
      <c r="K20" s="14" t="n">
        <v>0</v>
      </c>
      <c r="L20" s="10" t="inlineStr">
        <is>
          <t>Free tier</t>
        </is>
      </c>
      <c r="M20" s="15" t="inlineStr">
        <is>
          <t>https://app.cal.com/settings/developer/api-keys</t>
        </is>
      </c>
      <c r="N20" s="15" t="inlineStr">
        <is>
          <t>https://cal.com/docs/api-reference</t>
        </is>
      </c>
      <c r="O20" s="10" t="inlineStr">
        <is>
          <t>1) Sign up, connect Google/Outlook calendar, create an event type. 2) Settings -&gt; Developer -&gt; API Keys -&gt; create. 3) Paste into CAL_COM_API_KEY.</t>
        </is>
      </c>
      <c r="P20" s="10" t="inlineStr">
        <is>
          <t>CAL_COM_API_KEY</t>
        </is>
      </c>
      <c r="Q20" s="10" t="inlineStr">
        <is>
          <t>Calendly is the alternative and needs a paid tier for API access — Cal.com is the cheaper start.</t>
        </is>
      </c>
      <c r="R20" s="10" t="inlineStr">
        <is>
          <t>Not started</t>
        </is>
      </c>
      <c r="S20" s="10" t="inlineStr"/>
      <c r="T20" s="16" t="inlineStr"/>
      <c r="U20" s="10" t="inlineStr"/>
    </row>
    <row r="21" ht="96" customHeight="1">
      <c r="A21" s="8" t="n">
        <v>20</v>
      </c>
      <c r="B21" s="23" t="inlineStr">
        <is>
          <t>P2</t>
        </is>
      </c>
      <c r="C21" s="10" t="inlineStr">
        <is>
          <t>Prospecting</t>
        </is>
      </c>
      <c r="D21" s="11" t="inlineStr">
        <is>
          <t>Hunter.io</t>
        </is>
      </c>
      <c r="E21" s="10" t="inlineStr">
        <is>
          <t>Waterfall Data Agent: email-pattern fallback when Apollo can't resolve</t>
        </is>
      </c>
      <c r="F21" s="22" t="inlineStr">
        <is>
          <t>Recommended</t>
        </is>
      </c>
      <c r="G21" s="13" t="inlineStr">
        <is>
          <t>Instant</t>
        </is>
      </c>
      <c r="H21" s="10" t="inlineStr">
        <is>
          <t>5 minutes</t>
        </is>
      </c>
      <c r="I21" s="10" t="inlineStr">
        <is>
          <t>None</t>
        </is>
      </c>
      <c r="J21" s="10" t="inlineStr">
        <is>
          <t>Monthly requests</t>
        </is>
      </c>
      <c r="K21" s="14" t="n">
        <v>49</v>
      </c>
      <c r="L21" s="10" t="inlineStr">
        <is>
          <t>25 searches/mo free</t>
        </is>
      </c>
      <c r="M21" s="15" t="inlineStr">
        <is>
          <t>https://hunter.io/api-keys</t>
        </is>
      </c>
      <c r="N21" s="15" t="inlineStr">
        <is>
          <t>https://hunter.io/api-documentation</t>
        </is>
      </c>
      <c r="O21" s="10" t="inlineStr">
        <is>
          <t>1) Sign up. 2) API -&gt; copy key. 3) Paste into HUNTER_API_KEY. 4) Add 'hunter' to ENRICHMENT_WATERFALL.</t>
        </is>
      </c>
      <c r="P21" s="10" t="inlineStr">
        <is>
          <t>HUNTER_API_KEY, ENRICHMENT_WATERFALL</t>
        </is>
      </c>
      <c r="Q21" s="10" t="inlineStr">
        <is>
          <t>Only worth adding once you see Apollo's fill-rate gap in the enrichment log on /prospects.</t>
        </is>
      </c>
      <c r="R21" s="10" t="inlineStr">
        <is>
          <t>Not started</t>
        </is>
      </c>
      <c r="S21" s="10" t="inlineStr"/>
      <c r="T21" s="16" t="inlineStr"/>
      <c r="U21" s="10" t="inlineStr"/>
    </row>
    <row r="22" ht="96" customHeight="1">
      <c r="A22" s="8" t="n">
        <v>21</v>
      </c>
      <c r="B22" s="23" t="inlineStr">
        <is>
          <t>P2</t>
        </is>
      </c>
      <c r="C22" s="10" t="inlineStr">
        <is>
          <t>Landing Pages &amp; CMS</t>
        </is>
      </c>
      <c r="D22" s="11" t="inlineStr">
        <is>
          <t>Vercel</t>
        </is>
      </c>
      <c r="E22" s="10" t="inlineStr">
        <is>
          <t>Landing Page Agent: deploy generated campaign pages</t>
        </is>
      </c>
      <c r="F22" s="24" t="inlineStr">
        <is>
          <t>Optional</t>
        </is>
      </c>
      <c r="G22" s="13" t="inlineStr">
        <is>
          <t>Instant</t>
        </is>
      </c>
      <c r="H22" s="10" t="inlineStr">
        <is>
          <t>15 minutes</t>
        </is>
      </c>
      <c r="I22" s="10" t="inlineStr">
        <is>
          <t>Vercel account + domain</t>
        </is>
      </c>
      <c r="J22" s="10" t="inlineStr">
        <is>
          <t>Free hobby tier</t>
        </is>
      </c>
      <c r="K22" s="14" t="n">
        <v>0</v>
      </c>
      <c r="L22" s="10" t="inlineStr">
        <is>
          <t>Hobby free</t>
        </is>
      </c>
      <c r="M22" s="15" t="inlineStr">
        <is>
          <t>https://vercel.com/account/tokens</t>
        </is>
      </c>
      <c r="N22" s="15" t="inlineStr">
        <is>
          <t>https://vercel.com/docs/rest-api</t>
        </is>
      </c>
      <c r="O22" s="10" t="inlineStr">
        <is>
          <t>1) Create a Vercel account and a project. 2) Account Settings -&gt; Tokens -&gt; Create. 3) Copy the project ID from Project Settings. 4) Set VERCEL_TOKEN, VERCEL_PROJECT_ID, LANDING_PAGE_DOMAIN.</t>
        </is>
      </c>
      <c r="P22" s="10" t="inlineStr">
        <is>
          <t>VERCEL_TOKEN, VERCEL_PROJECT_ID, LANDING_PAGE_DOMAIN</t>
        </is>
      </c>
      <c r="Q22" s="10" t="inlineStr">
        <is>
          <t>Only needed when you want pages auto-published. Pages render inside the app without this.</t>
        </is>
      </c>
      <c r="R22" s="10" t="inlineStr">
        <is>
          <t>Not started</t>
        </is>
      </c>
      <c r="S22" s="10" t="inlineStr"/>
      <c r="T22" s="16" t="inlineStr"/>
      <c r="U22" s="10" t="inlineStr"/>
    </row>
    <row r="23" ht="96" customHeight="1">
      <c r="A23" s="8" t="n">
        <v>22</v>
      </c>
      <c r="B23" s="25" t="inlineStr">
        <is>
          <t>P3</t>
        </is>
      </c>
      <c r="C23" s="10" t="inlineStr">
        <is>
          <t>Paid Media</t>
        </is>
      </c>
      <c r="D23" s="11" t="inlineStr">
        <is>
          <t>LinkedIn Marketing API</t>
        </is>
      </c>
      <c r="E23" s="10" t="inlineStr">
        <is>
          <t>Paid Media (LinkedIn Ads), LinkedIn Agent (organic), Lead Gen Forms</t>
        </is>
      </c>
      <c r="F23" s="22" t="inlineStr">
        <is>
          <t>Recommended</t>
        </is>
      </c>
      <c r="G23" s="21" t="inlineStr">
        <is>
          <t>Hard</t>
        </is>
      </c>
      <c r="H23" s="10" t="inlineStr">
        <is>
          <t>2-8 weeks (uncertain)</t>
        </is>
      </c>
      <c r="I23" s="10" t="inlineStr">
        <is>
          <t>Company Page + Ad Account + app</t>
        </is>
      </c>
      <c r="J23" s="10" t="inlineStr">
        <is>
          <t>Ad spend; API free</t>
        </is>
      </c>
      <c r="K23" s="14" t="n">
        <v>0</v>
      </c>
      <c r="L23" s="10" t="inlineStr">
        <is>
          <t>API free; you pay media</t>
        </is>
      </c>
      <c r="M23" s="15" t="inlineStr">
        <is>
          <t>https://www.linkedin.com/developers/apps</t>
        </is>
      </c>
      <c r="N23" s="15" t="inlineStr">
        <is>
          <t>https://learn.microsoft.com/linkedin/marketing</t>
        </is>
      </c>
      <c r="O23" s="10" t="inlineStr">
        <is>
          <t>1) Create a LinkedIn Company Page and a Campaign Manager ad account with billing. 2) linkedin.com/developers -&gt; Create App -&gt; associate it with the Company Page -&gt; verify the Page (an admin clicks the link). 3) Products tab -&gt; request 'Advertising API' (and 'Community Management API' for organic posting). Each is a separate application with a business justification and a review. 4) Auth tab -&gt; copy Client ID/Secret; run the 3-legged OAuth flow to get an access token (scopes: r_ads, rw_ads, r_ads_reporting, w_organization_social). 5) Fill LINKEDIN_CLIENT_ID, LINKEDIN_CLIENT_SECRET, LINKEDIN_ACCESS_TOKEN, LINKEDIN_AD_ACCOUNT_ID, LINKEDIN_ORGANIZATION_ID.</t>
        </is>
      </c>
      <c r="P23" s="10" t="inlineStr">
        <is>
          <t>LINKEDIN_CLIENT_ID, LINKEDIN_CLIENT_SECRET, LINKEDIN_ACCESS_TOKEN, LINKEDIN_AD_ACCOUNT_ID, LINKEDIN_ORGANIZATION_ID</t>
        </is>
      </c>
      <c r="Q23" s="10" t="inlineStr">
        <is>
          <t>THE LEAST PREDICTABLE APPROVAL of all of these — apply early, expect back-and-forth, and have a manual fallback. Access tokens expire (~60 days); implement refresh. Never scrape LinkedIn — it will get accounts banned.</t>
        </is>
      </c>
      <c r="R23" s="10" t="inlineStr">
        <is>
          <t>Not started</t>
        </is>
      </c>
      <c r="S23" s="10" t="inlineStr"/>
      <c r="T23" s="16" t="inlineStr"/>
      <c r="U23" s="10" t="inlineStr"/>
    </row>
    <row r="24" ht="96" customHeight="1">
      <c r="A24" s="8" t="n">
        <v>23</v>
      </c>
      <c r="B24" s="25" t="inlineStr">
        <is>
          <t>P3</t>
        </is>
      </c>
      <c r="C24" s="10" t="inlineStr">
        <is>
          <t>Creative Generation</t>
        </is>
      </c>
      <c r="D24" s="11" t="inlineStr">
        <is>
          <t>ElevenLabs</t>
        </is>
      </c>
      <c r="E24" s="10" t="inlineStr">
        <is>
          <t>AI Video Agent: voiceover for ad variants</t>
        </is>
      </c>
      <c r="F24" s="24" t="inlineStr">
        <is>
          <t>Optional</t>
        </is>
      </c>
      <c r="G24" s="13" t="inlineStr">
        <is>
          <t>Instant</t>
        </is>
      </c>
      <c r="H24" s="10" t="inlineStr">
        <is>
          <t>5 minutes</t>
        </is>
      </c>
      <c r="I24" s="10" t="inlineStr">
        <is>
          <t>None</t>
        </is>
      </c>
      <c r="J24" s="10" t="inlineStr">
        <is>
          <t>Characters/month</t>
        </is>
      </c>
      <c r="K24" s="14" t="n">
        <v>22</v>
      </c>
      <c r="L24" s="10" t="inlineStr">
        <is>
          <t>10k chars/mo free</t>
        </is>
      </c>
      <c r="M24" s="15" t="inlineStr">
        <is>
          <t>https://elevenlabs.io</t>
        </is>
      </c>
      <c r="N24" s="15" t="inlineStr">
        <is>
          <t>https://elevenlabs.io/docs</t>
        </is>
      </c>
      <c r="O24" s="10" t="inlineStr">
        <is>
          <t>1) Sign up. 2) Profile -&gt; API Key -&gt; copy. 3) Paste into ELEVENLABS_API_KEY.</t>
        </is>
      </c>
      <c r="P24" s="10" t="inlineStr">
        <is>
          <t>ELEVENLABS_API_KEY</t>
        </is>
      </c>
      <c r="Q24" s="10" t="inlineStr">
        <is>
          <t>Check the commercial-use terms on your tier before putting generated voice into paid ads.</t>
        </is>
      </c>
      <c r="R24" s="10" t="inlineStr">
        <is>
          <t>Not started</t>
        </is>
      </c>
      <c r="S24" s="10" t="inlineStr"/>
      <c r="T24" s="16" t="inlineStr"/>
      <c r="U24" s="10" t="inlineStr"/>
    </row>
    <row r="25" ht="96" customHeight="1">
      <c r="A25" s="8" t="n">
        <v>24</v>
      </c>
      <c r="B25" s="25" t="inlineStr">
        <is>
          <t>P3</t>
        </is>
      </c>
      <c r="C25" s="10" t="inlineStr">
        <is>
          <t>Creative Generation</t>
        </is>
      </c>
      <c r="D25" s="11" t="inlineStr">
        <is>
          <t>fal.ai</t>
        </is>
      </c>
      <c r="E25" s="10" t="inlineStr">
        <is>
          <t>AI Creative Director + Video Agent: image and video variant generation</t>
        </is>
      </c>
      <c r="F25" s="24" t="inlineStr">
        <is>
          <t>Optional</t>
        </is>
      </c>
      <c r="G25" s="13" t="inlineStr">
        <is>
          <t>Instant</t>
        </is>
      </c>
      <c r="H25" s="10" t="inlineStr">
        <is>
          <t>5 minutes</t>
        </is>
      </c>
      <c r="I25" s="10" t="inlineStr">
        <is>
          <t>None</t>
        </is>
      </c>
      <c r="J25" s="10" t="inlineStr">
        <is>
          <t>Pay-per-second compute</t>
        </is>
      </c>
      <c r="K25" s="14" t="n">
        <v>50</v>
      </c>
      <c r="L25" s="10" t="inlineStr">
        <is>
          <t>Small free credit</t>
        </is>
      </c>
      <c r="M25" s="15" t="inlineStr">
        <is>
          <t>https://fal.ai/dashboard/keys</t>
        </is>
      </c>
      <c r="N25" s="15" t="inlineStr">
        <is>
          <t>https://fal.ai/docs</t>
        </is>
      </c>
      <c r="O25" s="10" t="inlineStr">
        <is>
          <t>1) Sign up. 2) Dashboard -&gt; Keys -&gt; Add key. 3) Paste into FAL_API_KEY.</t>
        </is>
      </c>
      <c r="P25" s="10" t="inlineStr">
        <is>
          <t>FAL_API_KEY</t>
        </is>
      </c>
      <c r="Q25" s="10" t="inlineStr">
        <is>
          <t>Cheapest way to get many model families behind one key. Runway/Higgsfield are higher-quality, higher-cost alternatives.</t>
        </is>
      </c>
      <c r="R25" s="10" t="inlineStr">
        <is>
          <t>Not started</t>
        </is>
      </c>
      <c r="S25" s="10" t="inlineStr"/>
      <c r="T25" s="16" t="inlineStr"/>
      <c r="U25" s="10" t="inlineStr"/>
    </row>
    <row r="26" ht="96" customHeight="1">
      <c r="A26" s="8" t="n">
        <v>25</v>
      </c>
      <c r="B26" s="25" t="inlineStr">
        <is>
          <t>P3</t>
        </is>
      </c>
      <c r="C26" s="10" t="inlineStr">
        <is>
          <t>Creative Generation</t>
        </is>
      </c>
      <c r="D26" s="11" t="inlineStr">
        <is>
          <t>Runway</t>
        </is>
      </c>
      <c r="E26" s="10" t="inlineStr">
        <is>
          <t>AI Video Agent: higher-end video generation</t>
        </is>
      </c>
      <c r="F26" s="24" t="inlineStr">
        <is>
          <t>Optional</t>
        </is>
      </c>
      <c r="G26" s="18" t="inlineStr">
        <is>
          <t>Easy</t>
        </is>
      </c>
      <c r="H26" s="10" t="inlineStr">
        <is>
          <t>1 day</t>
        </is>
      </c>
      <c r="I26" s="10" t="inlineStr">
        <is>
          <t>Paid plan for API</t>
        </is>
      </c>
      <c r="J26" s="10" t="inlineStr">
        <is>
          <t>Credits</t>
        </is>
      </c>
      <c r="K26" s="14" t="n">
        <v>95</v>
      </c>
      <c r="L26" s="10" t="inlineStr">
        <is>
          <t>Limited trial</t>
        </is>
      </c>
      <c r="M26" s="15" t="inlineStr">
        <is>
          <t>https://dev.runwayml.com</t>
        </is>
      </c>
      <c r="N26" s="15" t="inlineStr">
        <is>
          <t>https://docs.dev.runwayml.com</t>
        </is>
      </c>
      <c r="O26" s="10" t="inlineStr">
        <is>
          <t>1) Create a Runway account and request/enable API access on a paid plan. 2) Generate an API key in the dev portal. 3) Paste into RUNWAY_API_KEY.</t>
        </is>
      </c>
      <c r="P26" s="10" t="inlineStr">
        <is>
          <t>RUNWAY_API_KEY</t>
        </is>
      </c>
      <c r="Q26" s="10" t="inlineStr">
        <is>
          <t>Expensive per render — gate it behind the Creative Testing Agent so you only render winners' variants.</t>
        </is>
      </c>
      <c r="R26" s="10" t="inlineStr">
        <is>
          <t>Not started</t>
        </is>
      </c>
      <c r="S26" s="10" t="inlineStr"/>
      <c r="T26" s="16" t="inlineStr"/>
      <c r="U26" s="10" t="inlineStr"/>
    </row>
    <row r="27" ht="96" customHeight="1">
      <c r="A27" s="8" t="n">
        <v>26</v>
      </c>
      <c r="B27" s="25" t="inlineStr">
        <is>
          <t>P3</t>
        </is>
      </c>
      <c r="C27" s="10" t="inlineStr">
        <is>
          <t>Creative Generation</t>
        </is>
      </c>
      <c r="D27" s="11" t="inlineStr">
        <is>
          <t>Higgsfield</t>
        </is>
      </c>
      <c r="E27" s="10" t="inlineStr">
        <is>
          <t>AI Video Agent (as named in the spec)</t>
        </is>
      </c>
      <c r="F27" s="24" t="inlineStr">
        <is>
          <t>Optional</t>
        </is>
      </c>
      <c r="G27" s="20" t="inlineStr">
        <is>
          <t>Medium</t>
        </is>
      </c>
      <c r="H27" s="10" t="inlineStr">
        <is>
          <t>Varies</t>
        </is>
      </c>
      <c r="I27" s="10" t="inlineStr">
        <is>
          <t>Account + API availability</t>
        </is>
      </c>
      <c r="J27" s="10" t="inlineStr">
        <is>
          <t>Credits</t>
        </is>
      </c>
      <c r="K27" s="14" t="n">
        <v>50</v>
      </c>
      <c r="L27" s="10" t="inlineStr">
        <is>
          <t>Varies</t>
        </is>
      </c>
      <c r="M27" s="15" t="inlineStr">
        <is>
          <t>https://higgsfield.ai</t>
        </is>
      </c>
      <c r="N27" s="15" t="inlineStr">
        <is>
          <t>https://higgsfield.ai</t>
        </is>
      </c>
      <c r="O27" s="10" t="inlineStr">
        <is>
          <t>1) Create an account. 2) Check current API availability/waitlist — programmatic access is not always self-serve. 3) If granted, paste the key into HIGGSFIELD_API_KEY.</t>
        </is>
      </c>
      <c r="P27" s="10" t="inlineStr">
        <is>
          <t>HIGGSFIELD_API_KEY</t>
        </is>
      </c>
      <c r="Q27" s="10" t="inlineStr">
        <is>
          <t>Named in the product spec, but API availability shifts. fal.ai or Runway are the practical substitutes today.</t>
        </is>
      </c>
      <c r="R27" s="10" t="inlineStr">
        <is>
          <t>Not started</t>
        </is>
      </c>
      <c r="S27" s="10" t="inlineStr"/>
      <c r="T27" s="16" t="inlineStr"/>
      <c r="U27" s="10" t="inlineStr"/>
    </row>
    <row r="28" ht="96" customHeight="1">
      <c r="A28" s="8" t="n">
        <v>27</v>
      </c>
      <c r="B28" s="25" t="inlineStr">
        <is>
          <t>P3</t>
        </is>
      </c>
      <c r="C28" s="10" t="inlineStr">
        <is>
          <t>Organic Social</t>
        </is>
      </c>
      <c r="D28" s="11" t="inlineStr">
        <is>
          <t>YouTube Data API</t>
        </is>
      </c>
      <c r="E28" s="10" t="inlineStr">
        <is>
          <t>Social Media Agent + Video Agent: upload and analytics</t>
        </is>
      </c>
      <c r="F28" s="24" t="inlineStr">
        <is>
          <t>Optional</t>
        </is>
      </c>
      <c r="G28" s="20" t="inlineStr">
        <is>
          <t>Medium</t>
        </is>
      </c>
      <c r="H28" s="10" t="inlineStr">
        <is>
          <t>2-7 days (quota audit)</t>
        </is>
      </c>
      <c r="I28" s="10" t="inlineStr">
        <is>
          <t>YouTube channel + Google Cloud project</t>
        </is>
      </c>
      <c r="J28" s="10" t="inlineStr">
        <is>
          <t>Free within quota</t>
        </is>
      </c>
      <c r="K28" s="14" t="n">
        <v>0</v>
      </c>
      <c r="L28" s="10" t="inlineStr">
        <is>
          <t>10,000 units/day free</t>
        </is>
      </c>
      <c r="M28" s="15" t="inlineStr">
        <is>
          <t>https://console.cloud.google.com</t>
        </is>
      </c>
      <c r="N28" s="15" t="inlineStr">
        <is>
          <t>https://developers.google.com/youtube/v3</t>
        </is>
      </c>
      <c r="O28" s="10" t="inlineStr">
        <is>
          <t>1) Enable the 'YouTube Data API v3' in your Google Cloud project. 2) Configure OAuth consent + create an OAuth client. 3) Consent with the youtube.upload scope and capture the refresh token. 4) Fill YOUTUBE_CLIENT_ID/SECRET/REFRESH_TOKEN and YOUTUBE_CHANNEL_ID. 5) If you need more than ~6 uploads/day, submit a quota-increase audit.</t>
        </is>
      </c>
      <c r="P28" s="10" t="inlineStr">
        <is>
          <t>YOUTUBE_CLIENT_ID, YOUTUBE_CLIENT_SECRET, YOUTUBE_REFRESH_TOKEN, YOUTUBE_CHANNEL_ID</t>
        </is>
      </c>
      <c r="Q28" s="10" t="inlineStr">
        <is>
          <t>A single video upload costs ~1,600 quota units against a 10,000/day default — that's ~6 uploads/day before you need the audit. Plan ahead if video is core.</t>
        </is>
      </c>
      <c r="R28" s="10" t="inlineStr">
        <is>
          <t>Not started</t>
        </is>
      </c>
      <c r="S28" s="10" t="inlineStr"/>
      <c r="T28" s="16" t="inlineStr"/>
      <c r="U28" s="10" t="inlineStr"/>
    </row>
    <row r="29" ht="96" customHeight="1">
      <c r="A29" s="8" t="n">
        <v>28</v>
      </c>
      <c r="B29" s="25" t="inlineStr">
        <is>
          <t>P3</t>
        </is>
      </c>
      <c r="C29" s="10" t="inlineStr">
        <is>
          <t>Organic Social</t>
        </is>
      </c>
      <c r="D29" s="11" t="inlineStr">
        <is>
          <t>Ayrshare</t>
        </is>
      </c>
      <c r="E29" s="10" t="inlineStr">
        <is>
          <t>Social Media Agent: one key to publish across LinkedIn/IG/FB/X/TikTok</t>
        </is>
      </c>
      <c r="F29" s="19" t="inlineStr">
        <is>
          <t>Alternative</t>
        </is>
      </c>
      <c r="G29" s="18" t="inlineStr">
        <is>
          <t>Easy</t>
        </is>
      </c>
      <c r="H29" s="10" t="inlineStr">
        <is>
          <t>1 day</t>
        </is>
      </c>
      <c r="I29" s="10" t="inlineStr">
        <is>
          <t>Connected social accounts</t>
        </is>
      </c>
      <c r="J29" s="10" t="inlineStr">
        <is>
          <t>Monthly per profile</t>
        </is>
      </c>
      <c r="K29" s="14" t="n">
        <v>49</v>
      </c>
      <c r="L29" s="10" t="inlineStr">
        <is>
          <t>Free dev tier</t>
        </is>
      </c>
      <c r="M29" s="15" t="inlineStr">
        <is>
          <t>https://www.ayrshare.com</t>
        </is>
      </c>
      <c r="N29" s="15" t="inlineStr">
        <is>
          <t>https://www.ayrshare.com/docs</t>
        </is>
      </c>
      <c r="O29" s="10" t="inlineStr">
        <is>
          <t>1) Sign up. 2) Connect each social account through their dashboard. 3) Copy the API key. 4) Paste into AYRSHARE_API_KEY.</t>
        </is>
      </c>
      <c r="P29" s="10" t="inlineStr">
        <is>
          <t>AYRSHARE_API_KEY</t>
        </is>
      </c>
      <c r="Q29" s="10" t="inlineStr">
        <is>
          <t>SHORTCUT: replaces separate Meta/LinkedIn/TikTok/X publishing approvals for ORGANIC posting only. Ads still need the native APIs. Worth it if platform reviews are blocking you.</t>
        </is>
      </c>
      <c r="R29" s="10" t="inlineStr">
        <is>
          <t>Not started</t>
        </is>
      </c>
      <c r="S29" s="10" t="inlineStr"/>
      <c r="T29" s="16" t="inlineStr"/>
      <c r="U29" s="10" t="inlineStr"/>
    </row>
    <row r="30" ht="96" customHeight="1">
      <c r="A30" s="8" t="n">
        <v>29</v>
      </c>
      <c r="B30" s="25" t="inlineStr">
        <is>
          <t>P3</t>
        </is>
      </c>
      <c r="C30" s="10" t="inlineStr">
        <is>
          <t>Paid Media</t>
        </is>
      </c>
      <c r="D30" s="11" t="inlineStr">
        <is>
          <t>TikTok Ads</t>
        </is>
      </c>
      <c r="E30" s="10" t="inlineStr">
        <is>
          <t>Paid Media Agent: TikTok campaigns and Spark Ads</t>
        </is>
      </c>
      <c r="F30" s="24" t="inlineStr">
        <is>
          <t>Optional</t>
        </is>
      </c>
      <c r="G30" s="21" t="inlineStr">
        <is>
          <t>Hard</t>
        </is>
      </c>
      <c r="H30" s="10" t="inlineStr">
        <is>
          <t>1-3 weeks</t>
        </is>
      </c>
      <c r="I30" s="10" t="inlineStr">
        <is>
          <t>TikTok Business Centre + advertiser account</t>
        </is>
      </c>
      <c r="J30" s="10" t="inlineStr">
        <is>
          <t>Ad spend; API free</t>
        </is>
      </c>
      <c r="K30" s="14" t="n">
        <v>0</v>
      </c>
      <c r="L30" s="10" t="inlineStr">
        <is>
          <t>API free</t>
        </is>
      </c>
      <c r="M30" s="15" t="inlineStr">
        <is>
          <t>https://business-api.tiktok.com</t>
        </is>
      </c>
      <c r="N30" s="15" t="inlineStr">
        <is>
          <t>https://business-api.tiktok.com/portal/docs</t>
        </is>
      </c>
      <c r="O30" s="10" t="inlineStr">
        <is>
          <t>1) Create a TikTok Business Centre and an advertiser account with billing. 2) business-api.tiktok.com -&gt; Developer -&gt; Create App -&gt; request Marketing API access (describe the use case). 3) After approval, run the OAuth flow to authorise your advertiser account and capture the access token. 4) Fill TIKTOK_APP_ID, TIKTOK_APP_SECRET, TIKTOK_ACCESS_TOKEN, TIKTOK_ADVERTISER_ID.</t>
        </is>
      </c>
      <c r="P30" s="10" t="inlineStr">
        <is>
          <t>TIKTOK_APP_ID, TIKTOK_APP_SECRET, TIKTOK_ACCESS_TOKEN, TIKTOK_ADVERTISER_ID</t>
        </is>
      </c>
      <c r="Q30" s="10" t="inlineStr">
        <is>
          <t>Skip entirely for enterprise B2B. Content Posting API is a SEPARATE app/approval from Ads.</t>
        </is>
      </c>
      <c r="R30" s="10" t="inlineStr">
        <is>
          <t>Not started</t>
        </is>
      </c>
      <c r="S30" s="10" t="inlineStr"/>
      <c r="T30" s="16" t="inlineStr"/>
      <c r="U30" s="10" t="inlineStr"/>
    </row>
    <row r="31" ht="96" customHeight="1">
      <c r="A31" s="8" t="n">
        <v>30</v>
      </c>
      <c r="B31" s="25" t="inlineStr">
        <is>
          <t>P3</t>
        </is>
      </c>
      <c r="C31" s="10" t="inlineStr">
        <is>
          <t>WhatsApp / SMS</t>
        </is>
      </c>
      <c r="D31" s="11" t="inlineStr">
        <is>
          <t>WhatsApp Business Cloud API</t>
        </is>
      </c>
      <c r="E31" s="10" t="inlineStr">
        <is>
          <t>Lifecycle Agent + AI SDR: WhatsApp conversations and templates</t>
        </is>
      </c>
      <c r="F31" s="24" t="inlineStr">
        <is>
          <t>Optional</t>
        </is>
      </c>
      <c r="G31" s="21" t="inlineStr">
        <is>
          <t>Hard</t>
        </is>
      </c>
      <c r="H31" s="10" t="inlineStr">
        <is>
          <t>1-3 weeks</t>
        </is>
      </c>
      <c r="I31" s="10" t="inlineStr">
        <is>
          <t>Verified Meta Business + dedicated phone number</t>
        </is>
      </c>
      <c r="J31" s="10" t="inlineStr">
        <is>
          <t>Per-conversation pricing</t>
        </is>
      </c>
      <c r="K31" s="14" t="n">
        <v>50</v>
      </c>
      <c r="L31" s="10" t="inlineStr">
        <is>
          <t>Free tier of conversations</t>
        </is>
      </c>
      <c r="M31" s="15" t="inlineStr">
        <is>
          <t>https://developers.facebook.com</t>
        </is>
      </c>
      <c r="N31" s="15" t="inlineStr">
        <is>
          <t>https://developers.facebook.com/docs/whatsapp/cloud-api</t>
        </is>
      </c>
      <c r="O31" s="10" t="inlineStr">
        <is>
          <t>1) Complete Meta Business Verification first (see the Meta Ads row). 2) In your Meta app, add the 'WhatsApp' product. 3) Add a phone number NOT already registered on WhatsApp. 4) Submit your display name for approval. 5) Create and submit message templates for approval (24-48h each). 6) Generate a permanent System User token with whatsapp_business_messaging + whatsapp_business_management. 7) Fill WHATSAPP_PHONE_NUMBER_ID, WHATSAPP_BUSINESS_ACCOUNT_ID, WHATSAPP_ACCESS_TOKEN, WHATSAPP_WEBHOOK_VERIFY_TOKEN.</t>
        </is>
      </c>
      <c r="P31" s="10" t="inlineStr">
        <is>
          <t>WHATSAPP_PHONE_NUMBER_ID, WHATSAPP_BUSINESS_ACCOUNT_ID, WHATSAPP_ACCESS_TOKEN, WHATSAPP_WEBHOOK_VERIFY_TOKEN</t>
        </is>
      </c>
      <c r="Q31" s="10" t="inlineStr">
        <is>
          <t>Depends on Meta Business Verification — do that once, it unlocks Ads + Ad Library + WhatsApp together. Every outbound template needs individual approval; plan template copy early.</t>
        </is>
      </c>
      <c r="R31" s="10" t="inlineStr">
        <is>
          <t>Not started</t>
        </is>
      </c>
      <c r="S31" s="10" t="inlineStr"/>
      <c r="T31" s="16" t="inlineStr"/>
      <c r="U31" s="10" t="inlineStr"/>
    </row>
    <row r="32" ht="96" customHeight="1">
      <c r="A32" s="8" t="n">
        <v>31</v>
      </c>
      <c r="B32" s="25" t="inlineStr">
        <is>
          <t>P3</t>
        </is>
      </c>
      <c r="C32" s="10" t="inlineStr">
        <is>
          <t>SEO &amp; Research</t>
        </is>
      </c>
      <c r="D32" s="11" t="inlineStr">
        <is>
          <t>DataForSEO</t>
        </is>
      </c>
      <c r="E32" s="10" t="inlineStr">
        <is>
          <t>SEO Agent: keyword volumes and SERP at lower cost than SerpApi at volume</t>
        </is>
      </c>
      <c r="F32" s="19" t="inlineStr">
        <is>
          <t>Alternative</t>
        </is>
      </c>
      <c r="G32" s="13" t="inlineStr">
        <is>
          <t>Instant</t>
        </is>
      </c>
      <c r="H32" s="10" t="inlineStr">
        <is>
          <t>15 minutes</t>
        </is>
      </c>
      <c r="I32" s="10" t="inlineStr">
        <is>
          <t>None</t>
        </is>
      </c>
      <c r="J32" s="10" t="inlineStr">
        <is>
          <t>Pay-as-you-go per call</t>
        </is>
      </c>
      <c r="K32" s="14" t="n">
        <v>50</v>
      </c>
      <c r="L32" s="10" t="inlineStr">
        <is>
          <t>$1 trial credit</t>
        </is>
      </c>
      <c r="M32" s="15" t="inlineStr">
        <is>
          <t>https://app.dataforseo.com</t>
        </is>
      </c>
      <c r="N32" s="15" t="inlineStr">
        <is>
          <t>https://docs.dataforseo.com</t>
        </is>
      </c>
      <c r="O32" s="10" t="inlineStr">
        <is>
          <t>1) Sign up. 2) Top up the balance. 3) Copy the API login + password (basic auth, not a bearer token). 4) Fill DATAFORSEO_LOGIN and DATAFORSEO_PASSWORD.</t>
        </is>
      </c>
      <c r="P32" s="10" t="inlineStr">
        <is>
          <t>DATAFORSEO_LOGIN, DATAFORSEO_PASSWORD</t>
        </is>
      </c>
      <c r="Q32" s="10" t="inlineStr">
        <is>
          <t>Uses login+password rather than a key. Cheapest per-SERP at volume; alternative to SerpApi, not a complement.</t>
        </is>
      </c>
      <c r="R32" s="10" t="inlineStr">
        <is>
          <t>Not started</t>
        </is>
      </c>
      <c r="S32" s="10" t="inlineStr"/>
      <c r="T32" s="16" t="inlineStr"/>
      <c r="U32" s="10" t="inlineStr"/>
    </row>
    <row r="33" ht="96" customHeight="1">
      <c r="A33" s="8" t="n">
        <v>32</v>
      </c>
      <c r="B33" s="25" t="inlineStr">
        <is>
          <t>P3</t>
        </is>
      </c>
      <c r="C33" s="10" t="inlineStr">
        <is>
          <t>AI Models</t>
        </is>
      </c>
      <c r="D33" s="11" t="inlineStr">
        <is>
          <t>Voyage AI</t>
        </is>
      </c>
      <c r="E33" s="10" t="inlineStr">
        <is>
          <t>Marketing Memory + knowledge-graph semantic search (embeddings)</t>
        </is>
      </c>
      <c r="F33" s="24" t="inlineStr">
        <is>
          <t>Optional</t>
        </is>
      </c>
      <c r="G33" s="13" t="inlineStr">
        <is>
          <t>Instant</t>
        </is>
      </c>
      <c r="H33" s="10" t="inlineStr">
        <is>
          <t>5 minutes</t>
        </is>
      </c>
      <c r="I33" s="10" t="inlineStr">
        <is>
          <t>None</t>
        </is>
      </c>
      <c r="J33" s="10" t="inlineStr">
        <is>
          <t>Per-token</t>
        </is>
      </c>
      <c r="K33" s="14" t="n">
        <v>10</v>
      </c>
      <c r="L33" s="10" t="inlineStr">
        <is>
          <t>Generous free tokens</t>
        </is>
      </c>
      <c r="M33" s="15" t="inlineStr">
        <is>
          <t>https://dashboard.voyageai.com</t>
        </is>
      </c>
      <c r="N33" s="15" t="inlineStr">
        <is>
          <t>https://docs.voyageai.com</t>
        </is>
      </c>
      <c r="O33" s="10" t="inlineStr">
        <is>
          <t>1) Sign up. 2) API Keys -&gt; create. 3) Paste into VOYAGE_API_KEY and set EMBEDDINGS_PROVIDER=voyage.</t>
        </is>
      </c>
      <c r="P33" s="10" t="inlineStr">
        <is>
          <t>VOYAGE_API_KEY, EMBEDDINGS_PROVIDER</t>
        </is>
      </c>
      <c r="Q33" s="10" t="inlineStr">
        <is>
          <t>Only needed once Marketing Memory grows past a few hundred insights and you want semantic recall.</t>
        </is>
      </c>
      <c r="R33" s="10" t="inlineStr">
        <is>
          <t>Not started</t>
        </is>
      </c>
      <c r="S33" s="10" t="inlineStr"/>
      <c r="T33" s="16" t="inlineStr"/>
      <c r="U33" s="10" t="inlineStr"/>
    </row>
    <row r="34" ht="96" customHeight="1">
      <c r="A34" s="8" t="n">
        <v>33</v>
      </c>
      <c r="B34" s="25" t="inlineStr">
        <is>
          <t>P3</t>
        </is>
      </c>
      <c r="C34" s="10" t="inlineStr">
        <is>
          <t>AI Models</t>
        </is>
      </c>
      <c r="D34" s="11" t="inlineStr">
        <is>
          <t>Pinecone</t>
        </is>
      </c>
      <c r="E34" s="10" t="inlineStr">
        <is>
          <t>Vector store for Marketing Memory at scale</t>
        </is>
      </c>
      <c r="F34" s="24" t="inlineStr">
        <is>
          <t>Optional</t>
        </is>
      </c>
      <c r="G34" s="18" t="inlineStr">
        <is>
          <t>Easy</t>
        </is>
      </c>
      <c r="H34" s="10" t="inlineStr">
        <is>
          <t>20 minutes</t>
        </is>
      </c>
      <c r="I34" s="10" t="inlineStr">
        <is>
          <t>None</t>
        </is>
      </c>
      <c r="J34" s="10" t="inlineStr">
        <is>
          <t>Serverless usage-based</t>
        </is>
      </c>
      <c r="K34" s="14" t="n">
        <v>25</v>
      </c>
      <c r="L34" s="10" t="inlineStr">
        <is>
          <t>Free starter index</t>
        </is>
      </c>
      <c r="M34" s="15" t="inlineStr">
        <is>
          <t>https://app.pinecone.io</t>
        </is>
      </c>
      <c r="N34" s="15" t="inlineStr">
        <is>
          <t>https://docs.pinecone.io</t>
        </is>
      </c>
      <c r="O34" s="10" t="inlineStr">
        <is>
          <t>1) Sign up. 2) Create a serverless index (dimension must match your embedding model). 3) API Keys -&gt; copy. 4) Fill PINECONE_API_KEY and PINECONE_INDEX.</t>
        </is>
      </c>
      <c r="P34" s="10" t="inlineStr">
        <is>
          <t>PINECONE_API_KEY, PINECONE_INDEX</t>
        </is>
      </c>
      <c r="Q34" s="10" t="inlineStr">
        <is>
          <t>Postgres + pgvector is a cheaper alternative if you're already running Postgres.</t>
        </is>
      </c>
      <c r="R34" s="10" t="inlineStr">
        <is>
          <t>Not started</t>
        </is>
      </c>
      <c r="S34" s="10" t="inlineStr"/>
      <c r="T34" s="16" t="inlineStr"/>
      <c r="U34" s="10" t="inlineStr"/>
    </row>
    <row r="35" ht="96" customHeight="1">
      <c r="A35" s="8" t="n">
        <v>34</v>
      </c>
      <c r="B35" s="25" t="inlineStr">
        <is>
          <t>P3</t>
        </is>
      </c>
      <c r="C35" s="10" t="inlineStr">
        <is>
          <t>Email Marketing</t>
        </is>
      </c>
      <c r="D35" s="11" t="inlineStr">
        <is>
          <t>SendGrid</t>
        </is>
      </c>
      <c r="E35" s="10" t="inlineStr">
        <is>
          <t>Email Marketing Agent: higher-volume lifecycle sending</t>
        </is>
      </c>
      <c r="F35" s="19" t="inlineStr">
        <is>
          <t>Alternative</t>
        </is>
      </c>
      <c r="G35" s="20" t="inlineStr">
        <is>
          <t>Medium</t>
        </is>
      </c>
      <c r="H35" s="10" t="inlineStr">
        <is>
          <t>1-3 days (sender review)</t>
        </is>
      </c>
      <c r="I35" s="10" t="inlineStr">
        <is>
          <t>Domain + DNS access</t>
        </is>
      </c>
      <c r="J35" s="10" t="inlineStr">
        <is>
          <t>Emails/month</t>
        </is>
      </c>
      <c r="K35" s="14" t="n">
        <v>20</v>
      </c>
      <c r="L35" s="10" t="inlineStr">
        <is>
          <t>Free tier (limited)</t>
        </is>
      </c>
      <c r="M35" s="15" t="inlineStr">
        <is>
          <t>https://app.sendgrid.com/settings/api_keys</t>
        </is>
      </c>
      <c r="N35" s="15" t="inlineStr">
        <is>
          <t>https://docs.sendgrid.com</t>
        </is>
      </c>
      <c r="O35" s="10" t="inlineStr">
        <is>
          <t>1) Sign up (accounts are reviewed — describe your use case honestly). 2) Authenticate your sending domain via DNS. 3) Settings -&gt; API Keys -&gt; Create (Restricted: Mail Send). 4) Set SENDGRID_API_KEY, ESP_PROVIDER=sendgrid.</t>
        </is>
      </c>
      <c r="P35" s="10" t="inlineStr">
        <is>
          <t>SENDGRID_API_KEY, ESP_PROVIDER</t>
        </is>
      </c>
      <c r="Q35" s="10" t="inlineStr">
        <is>
          <t>New accounts get compliance-reviewed and can be suspended for cold-email-looking traffic. Pick Resend OR SendGrid, not both.</t>
        </is>
      </c>
      <c r="R35" s="10" t="inlineStr">
        <is>
          <t>Not started</t>
        </is>
      </c>
      <c r="S35" s="10" t="inlineStr"/>
      <c r="T35" s="16" t="inlineStr"/>
      <c r="U35" s="10" t="inlineStr"/>
    </row>
    <row r="36" ht="96" customHeight="1">
      <c r="A36" s="8" t="n">
        <v>35</v>
      </c>
      <c r="B36" s="25" t="inlineStr">
        <is>
          <t>P3</t>
        </is>
      </c>
      <c r="C36" s="10" t="inlineStr">
        <is>
          <t>Analytics &amp; Revenue</t>
        </is>
      </c>
      <c r="D36" s="11" t="inlineStr">
        <is>
          <t>PostHog</t>
        </is>
      </c>
      <c r="E36" s="10" t="inlineStr">
        <is>
          <t>Analytics + CRO: product events and session replay on landing pages</t>
        </is>
      </c>
      <c r="F36" s="24" t="inlineStr">
        <is>
          <t>Optional</t>
        </is>
      </c>
      <c r="G36" s="13" t="inlineStr">
        <is>
          <t>Instant</t>
        </is>
      </c>
      <c r="H36" s="10" t="inlineStr">
        <is>
          <t>15 minutes</t>
        </is>
      </c>
      <c r="I36" s="10" t="inlineStr">
        <is>
          <t>None</t>
        </is>
      </c>
      <c r="J36" s="10" t="inlineStr">
        <is>
          <t>Events/month</t>
        </is>
      </c>
      <c r="K36" s="14" t="n">
        <v>0</v>
      </c>
      <c r="L36" s="10" t="inlineStr">
        <is>
          <t>1M events/mo free</t>
        </is>
      </c>
      <c r="M36" s="15" t="inlineStr">
        <is>
          <t>https://app.posthog.com</t>
        </is>
      </c>
      <c r="N36" s="15" t="inlineStr">
        <is>
          <t>https://posthog.com/docs</t>
        </is>
      </c>
      <c r="O36" s="10" t="inlineStr">
        <is>
          <t>1) Sign up (choose EU or US cloud). 2) Project Settings -&gt; copy the Project API key. 3) Set POSTHOG_API_KEY and POSTHOG_HOST.</t>
        </is>
      </c>
      <c r="P36" s="10" t="inlineStr">
        <is>
          <t>POSTHOG_API_KEY, POSTHOG_HOST</t>
        </is>
      </c>
      <c r="Q36" s="10" t="inlineStr">
        <is>
          <t>Generous free tier; good CRO companion. Pick one of PostHog / Mixpanel / Segment.</t>
        </is>
      </c>
      <c r="R36" s="10" t="inlineStr">
        <is>
          <t>Not started</t>
        </is>
      </c>
      <c r="S36" s="10" t="inlineStr"/>
      <c r="T36" s="16" t="inlineStr"/>
      <c r="U36" s="10" t="inlineStr"/>
    </row>
    <row r="37" ht="96" customHeight="1">
      <c r="A37" s="8" t="n">
        <v>36</v>
      </c>
      <c r="B37" s="25" t="inlineStr">
        <is>
          <t>P3</t>
        </is>
      </c>
      <c r="C37" s="10" t="inlineStr">
        <is>
          <t>Analytics &amp; Revenue</t>
        </is>
      </c>
      <c r="D37" s="11" t="inlineStr">
        <is>
          <t>Shopify</t>
        </is>
      </c>
      <c r="E37" s="10" t="inlineStr">
        <is>
          <t>Attribution: e-commerce orders and customers as revenue truth</t>
        </is>
      </c>
      <c r="F37" s="24" t="inlineStr">
        <is>
          <t>Optional</t>
        </is>
      </c>
      <c r="G37" s="18" t="inlineStr">
        <is>
          <t>Easy</t>
        </is>
      </c>
      <c r="H37" s="10" t="inlineStr">
        <is>
          <t>30 minutes</t>
        </is>
      </c>
      <c r="I37" s="10" t="inlineStr">
        <is>
          <t>Shopify store admin</t>
        </is>
      </c>
      <c r="J37" s="10" t="inlineStr">
        <is>
          <t>Free with store plan</t>
        </is>
      </c>
      <c r="K37" s="14" t="n">
        <v>0</v>
      </c>
      <c r="L37" s="10" t="inlineStr">
        <is>
          <t>Free with store</t>
        </is>
      </c>
      <c r="M37" s="15" t="inlineStr">
        <is>
          <t>https://admin.shopify.com</t>
        </is>
      </c>
      <c r="N37" s="15" t="inlineStr">
        <is>
          <t>https://shopify.dev/docs/api</t>
        </is>
      </c>
      <c r="O37" s="10" t="inlineStr">
        <is>
          <t>1) Store admin -&gt; Settings -&gt; Apps and sales channels -&gt; Develop apps -&gt; Create an app. 2) Configure Admin API scopes: read_orders, read_customers, read_products. 3) Install the app -&gt; reveal the Admin API access token. 4) Fill SHOPIFY_STORE_DOMAIN and SHOPIFY_ADMIN_ACCESS_TOKEN.</t>
        </is>
      </c>
      <c r="P37" s="10" t="inlineStr">
        <is>
          <t>SHOPIFY_STORE_DOMAIN, SHOPIFY_ADMIN_ACCESS_TOKEN, SHOPIFY_API_VERSION</t>
        </is>
      </c>
      <c r="Q37" s="10" t="inlineStr">
        <is>
          <t>Only if you sell e-commerce. B2B SaaS should use Stripe or CRM closed-won instead.</t>
        </is>
      </c>
      <c r="R37" s="10" t="inlineStr">
        <is>
          <t>Not started</t>
        </is>
      </c>
      <c r="S37" s="10" t="inlineStr"/>
      <c r="T37" s="16" t="inlineStr"/>
      <c r="U37" s="10" t="inlineStr"/>
    </row>
    <row r="38" ht="96" customHeight="1">
      <c r="A38" s="8" t="n">
        <v>37</v>
      </c>
      <c r="B38" s="25" t="inlineStr">
        <is>
          <t>P3</t>
        </is>
      </c>
      <c r="C38" s="10" t="inlineStr">
        <is>
          <t>Landing Pages &amp; CMS</t>
        </is>
      </c>
      <c r="D38" s="11" t="inlineStr">
        <is>
          <t>WordPress</t>
        </is>
      </c>
      <c r="E38" s="10" t="inlineStr">
        <is>
          <t>SEO Agent: publish generated articles to your blog</t>
        </is>
      </c>
      <c r="F38" s="24" t="inlineStr">
        <is>
          <t>Optional</t>
        </is>
      </c>
      <c r="G38" s="13" t="inlineStr">
        <is>
          <t>Instant</t>
        </is>
      </c>
      <c r="H38" s="10" t="inlineStr">
        <is>
          <t>10 minutes</t>
        </is>
      </c>
      <c r="I38" s="10" t="inlineStr">
        <is>
          <t>WordPress site admin</t>
        </is>
      </c>
      <c r="J38" s="10" t="inlineStr">
        <is>
          <t>Free (self-hosted)</t>
        </is>
      </c>
      <c r="K38" s="14" t="n">
        <v>0</v>
      </c>
      <c r="L38" s="10" t="inlineStr">
        <is>
          <t>Free</t>
        </is>
      </c>
      <c r="M38" s="15" t="inlineStr">
        <is>
          <t>https://your-site.com/wp-admin</t>
        </is>
      </c>
      <c r="N38" s="15" t="inlineStr">
        <is>
          <t>https://developer.wordpress.org/rest-api</t>
        </is>
      </c>
      <c r="O38" s="10" t="inlineStr">
        <is>
          <t>1) WP Admin -&gt; Users -&gt; your profile -&gt; Application Passwords -&gt; add a new one -&gt; copy it. 2) Fill WORDPRESS_URL, WORDPRESS_USERNAME, WORDPRESS_APP_PASSWORD. 3) Ensure the REST API isn't blocked by a security plugin.</t>
        </is>
      </c>
      <c r="P38" s="10" t="inlineStr">
        <is>
          <t>WORDPRESS_URL, WORDPRESS_USERNAME, WORDPRESS_APP_PASSWORD</t>
        </is>
      </c>
      <c r="Q38" s="10" t="inlineStr">
        <is>
          <t>Application Passwords need HTTPS. Some security plugins disable the REST API by default.</t>
        </is>
      </c>
      <c r="R38" s="10" t="inlineStr">
        <is>
          <t>Not started</t>
        </is>
      </c>
      <c r="S38" s="10" t="inlineStr"/>
      <c r="T38" s="16" t="inlineStr"/>
      <c r="U38" s="10" t="inlineStr"/>
    </row>
    <row r="39" ht="96" customHeight="1">
      <c r="A39" s="8" t="n">
        <v>38</v>
      </c>
      <c r="B39" s="25" t="inlineStr">
        <is>
          <t>P3</t>
        </is>
      </c>
      <c r="C39" s="10" t="inlineStr">
        <is>
          <t>Landing Pages &amp; CMS</t>
        </is>
      </c>
      <c r="D39" s="11" t="inlineStr">
        <is>
          <t>Webflow</t>
        </is>
      </c>
      <c r="E39" s="10" t="inlineStr">
        <is>
          <t>Landing Page + SEO Agent: CMS publishing</t>
        </is>
      </c>
      <c r="F39" s="19" t="inlineStr">
        <is>
          <t>Alternative</t>
        </is>
      </c>
      <c r="G39" s="18" t="inlineStr">
        <is>
          <t>Easy</t>
        </is>
      </c>
      <c r="H39" s="10" t="inlineStr">
        <is>
          <t>20 minutes</t>
        </is>
      </c>
      <c r="I39" s="10" t="inlineStr">
        <is>
          <t>Webflow site on a paid plan</t>
        </is>
      </c>
      <c r="J39" s="10" t="inlineStr">
        <is>
          <t>Site plan</t>
        </is>
      </c>
      <c r="K39" s="14" t="n">
        <v>23</v>
      </c>
      <c r="L39" s="10" t="inlineStr">
        <is>
          <t>Limited free</t>
        </is>
      </c>
      <c r="M39" s="15" t="inlineStr">
        <is>
          <t>https://webflow.com/dashboard</t>
        </is>
      </c>
      <c r="N39" s="15" t="inlineStr">
        <is>
          <t>https://developers.webflow.com</t>
        </is>
      </c>
      <c r="O39" s="10" t="inlineStr">
        <is>
          <t>1) Site Settings -&gt; Apps &amp; Integrations -&gt; API access -&gt; generate a token (or create a Webflow App). 2) Copy the Site ID from Site Settings -&gt; General. 3) Fill WEBFLOW_API_TOKEN and WEBFLOW_SITE_ID.</t>
        </is>
      </c>
      <c r="P39" s="10" t="inlineStr">
        <is>
          <t>WEBFLOW_API_TOKEN, WEBFLOW_SITE_ID</t>
        </is>
      </c>
      <c r="Q39" s="10" t="inlineStr">
        <is>
          <t>Alternative to WordPress — pick whichever your marketing site already runs on.</t>
        </is>
      </c>
      <c r="R39" s="10" t="inlineStr">
        <is>
          <t>Not started</t>
        </is>
      </c>
      <c r="S39" s="10" t="inlineStr"/>
      <c r="T39" s="16" t="inlineStr"/>
      <c r="U39" s="10" t="inlineStr"/>
    </row>
    <row r="40" ht="96" customHeight="1">
      <c r="A40" s="8" t="n">
        <v>39</v>
      </c>
      <c r="B40" s="25" t="inlineStr">
        <is>
          <t>P3</t>
        </is>
      </c>
      <c r="C40" s="10" t="inlineStr">
        <is>
          <t>Alerts &amp; Ops</t>
        </is>
      </c>
      <c r="D40" s="11" t="inlineStr">
        <is>
          <t>Sentry</t>
        </is>
      </c>
      <c r="E40" s="10" t="inlineStr">
        <is>
          <t>Platform: error tracking for agent runs and API failures</t>
        </is>
      </c>
      <c r="F40" s="22" t="inlineStr">
        <is>
          <t>Recommended</t>
        </is>
      </c>
      <c r="G40" s="13" t="inlineStr">
        <is>
          <t>Instant</t>
        </is>
      </c>
      <c r="H40" s="10" t="inlineStr">
        <is>
          <t>10 minutes</t>
        </is>
      </c>
      <c r="I40" s="10" t="inlineStr">
        <is>
          <t>None</t>
        </is>
      </c>
      <c r="J40" s="10" t="inlineStr">
        <is>
          <t>Errors/month</t>
        </is>
      </c>
      <c r="K40" s="14" t="n">
        <v>0</v>
      </c>
      <c r="L40" s="10" t="inlineStr">
        <is>
          <t>Free developer tier</t>
        </is>
      </c>
      <c r="M40" s="15" t="inlineStr">
        <is>
          <t>https://sentry.io</t>
        </is>
      </c>
      <c r="N40" s="15" t="inlineStr">
        <is>
          <t>https://docs.sentry.io</t>
        </is>
      </c>
      <c r="O40" s="10" t="inlineStr">
        <is>
          <t>1) Sign up -&gt; create a Python/Django project. 2) Copy the DSN. 3) Paste into SENTRY_DSN.</t>
        </is>
      </c>
      <c r="P40" s="10" t="inlineStr">
        <is>
          <t>SENTRY_DSN</t>
        </is>
      </c>
      <c r="Q40" s="10" t="inlineStr">
        <is>
          <t>Cheap insurance once agents run unattended on a schedule.</t>
        </is>
      </c>
      <c r="R40" s="10" t="inlineStr">
        <is>
          <t>Not started</t>
        </is>
      </c>
      <c r="S40" s="10" t="inlineStr"/>
      <c r="T40" s="16" t="inlineStr"/>
      <c r="U40" s="10" t="inlineStr"/>
    </row>
    <row r="41" ht="96" customHeight="1">
      <c r="A41" s="8" t="n">
        <v>40</v>
      </c>
      <c r="B41" s="26" t="inlineStr">
        <is>
          <t>P4</t>
        </is>
      </c>
      <c r="C41" s="10" t="inlineStr">
        <is>
          <t>Prospecting</t>
        </is>
      </c>
      <c r="D41" s="11" t="inlineStr">
        <is>
          <t>ZoomInfo</t>
        </is>
      </c>
      <c r="E41" s="10" t="inlineStr">
        <is>
          <t>Waterfall Data Agent: premium enrichment + intent data</t>
        </is>
      </c>
      <c r="F41" s="24" t="inlineStr">
        <is>
          <t>Optional</t>
        </is>
      </c>
      <c r="G41" s="27" t="inlineStr">
        <is>
          <t>Enterprise</t>
        </is>
      </c>
      <c r="H41" s="10" t="inlineStr">
        <is>
          <t>2-8 weeks (sales cycle)</t>
        </is>
      </c>
      <c r="I41" s="10" t="inlineStr">
        <is>
          <t>Annual contract, company vetting</t>
        </is>
      </c>
      <c r="J41" s="10" t="inlineStr">
        <is>
          <t>Annual contract</t>
        </is>
      </c>
      <c r="K41" s="14" t="n">
        <v>1250</v>
      </c>
      <c r="L41" s="10" t="inlineStr">
        <is>
          <t>None</t>
        </is>
      </c>
      <c r="M41" s="15" t="inlineStr">
        <is>
          <t>https://www.zoominfo.com</t>
        </is>
      </c>
      <c r="N41" s="15" t="inlineStr">
        <is>
          <t>https://api-docs.zoominfo.com</t>
        </is>
      </c>
      <c r="O41" s="10" t="inlineStr">
        <is>
          <t>1) Request a demo -&gt; sales qualification call -&gt; negotiate seats + API add-on (API is usually a paid add-on, not included). 2) Sign the annual contract. 3) Admin portal -&gt; generate API credentials (username/password or client ID + private key for JWT auth). 4) Fill the ZOOMINFO_* keys.</t>
        </is>
      </c>
      <c r="P41" s="10" t="inlineStr">
        <is>
          <t>ZOOMINFO_USERNAME, ZOOMINFO_PASSWORD, ZOOMINFO_CLIENT_ID, ZOOMINFO_PRIVATE_KEY</t>
        </is>
      </c>
      <c r="Q41" s="10" t="inlineStr">
        <is>
          <t>Expensive and slow — only worth it once Apollo's fill-rate is provably the bottleneck on revenue. Negotiate the API add-on explicitly; it is often excluded from the base quote.</t>
        </is>
      </c>
      <c r="R41" s="10" t="inlineStr">
        <is>
          <t>Not started</t>
        </is>
      </c>
      <c r="S41" s="10" t="inlineStr"/>
      <c r="T41" s="16" t="inlineStr"/>
      <c r="U41" s="10" t="inlineStr"/>
    </row>
    <row r="42" ht="96" customHeight="1">
      <c r="A42" s="8" t="n">
        <v>41</v>
      </c>
      <c r="B42" s="26" t="inlineStr">
        <is>
          <t>P4</t>
        </is>
      </c>
      <c r="C42" s="10" t="inlineStr">
        <is>
          <t>Prospecting</t>
        </is>
      </c>
      <c r="D42" s="11" t="inlineStr">
        <is>
          <t>Clearbit (HubSpot Breeze Intelligence)</t>
        </is>
      </c>
      <c r="E42" s="10" t="inlineStr">
        <is>
          <t>Lead Enrichment waterfall step 2</t>
        </is>
      </c>
      <c r="F42" s="24" t="inlineStr">
        <is>
          <t>Optional</t>
        </is>
      </c>
      <c r="G42" s="20" t="inlineStr">
        <is>
          <t>Medium</t>
        </is>
      </c>
      <c r="H42" s="10" t="inlineStr">
        <is>
          <t>1-2 weeks</t>
        </is>
      </c>
      <c r="I42" s="10" t="inlineStr">
        <is>
          <t>HubSpot account</t>
        </is>
      </c>
      <c r="J42" s="10" t="inlineStr">
        <is>
          <t>Credit packs via HubSpot</t>
        </is>
      </c>
      <c r="K42" s="14" t="n">
        <v>30</v>
      </c>
      <c r="L42" s="10" t="inlineStr">
        <is>
          <t>Limited free enrichment</t>
        </is>
      </c>
      <c r="M42" s="15" t="inlineStr">
        <is>
          <t>https://clearbit.com</t>
        </is>
      </c>
      <c r="N42" s="15" t="inlineStr">
        <is>
          <t>https://developers.hubspot.com</t>
        </is>
      </c>
      <c r="O42" s="10" t="inlineStr">
        <is>
          <t>1) Clearbit is now part of HubSpot (Breeze Intelligence) — standalone signup has been folded in. 2) Access enrichment through your HubSpot portal and buy credits there. 3) If you hold a legacy standalone Clearbit key, it still works in CLEARBIT_API_KEY.</t>
        </is>
      </c>
      <c r="P42" s="10" t="inlineStr">
        <is>
          <t>CLEARBIT_API_KEY</t>
        </is>
      </c>
      <c r="Q42" s="10" t="inlineStr">
        <is>
          <t>PRODUCT HAS MOVED — verify the current path before budgeting. People Data Labs is the cleaner standalone alternative for waterfall step 2.</t>
        </is>
      </c>
      <c r="R42" s="10" t="inlineStr">
        <is>
          <t>Not started</t>
        </is>
      </c>
      <c r="S42" s="10" t="inlineStr"/>
      <c r="T42" s="16" t="inlineStr"/>
      <c r="U42" s="10" t="inlineStr"/>
    </row>
    <row r="43" ht="96" customHeight="1">
      <c r="A43" s="8" t="n">
        <v>42</v>
      </c>
      <c r="B43" s="26" t="inlineStr">
        <is>
          <t>P4</t>
        </is>
      </c>
      <c r="C43" s="10" t="inlineStr">
        <is>
          <t>Prospecting</t>
        </is>
      </c>
      <c r="D43" s="11" t="inlineStr">
        <is>
          <t>People Data Labs</t>
        </is>
      </c>
      <c r="E43" s="10" t="inlineStr">
        <is>
          <t>Waterfall Data Agent: person/company enrichment fallback</t>
        </is>
      </c>
      <c r="F43" s="24" t="inlineStr">
        <is>
          <t>Optional</t>
        </is>
      </c>
      <c r="G43" s="18" t="inlineStr">
        <is>
          <t>Easy</t>
        </is>
      </c>
      <c r="H43" s="10" t="inlineStr">
        <is>
          <t>1 day</t>
        </is>
      </c>
      <c r="I43" s="10" t="inlineStr">
        <is>
          <t>Use-case review on signup</t>
        </is>
      </c>
      <c r="J43" s="10" t="inlineStr">
        <is>
          <t>Credits</t>
        </is>
      </c>
      <c r="K43" s="14" t="n">
        <v>100</v>
      </c>
      <c r="L43" s="10" t="inlineStr">
        <is>
          <t>100 free credits</t>
        </is>
      </c>
      <c r="M43" s="15" t="inlineStr">
        <is>
          <t>https://dashboard.peopledatalabs.com</t>
        </is>
      </c>
      <c r="N43" s="15" t="inlineStr">
        <is>
          <t>https://docs.peopledatalabs.com</t>
        </is>
      </c>
      <c r="O43" s="10" t="inlineStr">
        <is>
          <t>1) Sign up and describe your use case (they review it). 2) Dashboard -&gt; API Keys -&gt; copy. 3) Paste into PEOPLE_DATA_LABS_API_KEY and add 'peopledatalabs' to ENRICHMENT_WATERFALL.</t>
        </is>
      </c>
      <c r="P43" s="10" t="inlineStr">
        <is>
          <t>PEOPLE_DATA_LABS_API_KEY, ENRICHMENT_WATERFALL</t>
        </is>
      </c>
      <c r="Q43" s="10" t="inlineStr">
        <is>
          <t>Good standalone waterfall step 2 now that Clearbit moved into HubSpot.</t>
        </is>
      </c>
      <c r="R43" s="10" t="inlineStr">
        <is>
          <t>Not started</t>
        </is>
      </c>
      <c r="S43" s="10" t="inlineStr"/>
      <c r="T43" s="16" t="inlineStr"/>
      <c r="U43" s="10" t="inlineStr"/>
    </row>
    <row r="44" ht="96" customHeight="1">
      <c r="A44" s="8" t="n">
        <v>43</v>
      </c>
      <c r="B44" s="26" t="inlineStr">
        <is>
          <t>P4</t>
        </is>
      </c>
      <c r="C44" s="10" t="inlineStr">
        <is>
          <t>Prospecting</t>
        </is>
      </c>
      <c r="D44" s="11" t="inlineStr">
        <is>
          <t>Crunchbase</t>
        </is>
      </c>
      <c r="E44" s="10" t="inlineStr">
        <is>
          <t>Market Intelligence + Research Agent: funding signals</t>
        </is>
      </c>
      <c r="F44" s="24" t="inlineStr">
        <is>
          <t>Optional</t>
        </is>
      </c>
      <c r="G44" s="20" t="inlineStr">
        <is>
          <t>Medium</t>
        </is>
      </c>
      <c r="H44" s="10" t="inlineStr">
        <is>
          <t>1-2 weeks</t>
        </is>
      </c>
      <c r="I44" s="10" t="inlineStr">
        <is>
          <t>Paid plan for API</t>
        </is>
      </c>
      <c r="J44" s="10" t="inlineStr">
        <is>
          <t>Annual API licence</t>
        </is>
      </c>
      <c r="K44" s="14" t="n">
        <v>150</v>
      </c>
      <c r="L44" s="10" t="inlineStr">
        <is>
          <t>None for API</t>
        </is>
      </c>
      <c r="M44" s="15" t="inlineStr">
        <is>
          <t>https://data.crunchbase.com</t>
        </is>
      </c>
      <c r="N44" s="15" t="inlineStr">
        <is>
          <t>https://data.crunchbase.com/docs</t>
        </is>
      </c>
      <c r="O44" s="10" t="inlineStr">
        <is>
          <t>1) Request API access via the Crunchbase data portal (sales-assisted). 2) Purchase a licence. 3) Copy the user key -&gt; CRUNCHBASE_API_KEY.</t>
        </is>
      </c>
      <c r="P44" s="10" t="inlineStr">
        <is>
          <t>CRUNCHBASE_API_KEY</t>
        </is>
      </c>
      <c r="Q44" s="10" t="inlineStr">
        <is>
          <t>Funding signals are also available free-ish via news search (Tavily/NewsAPI) — try that first.</t>
        </is>
      </c>
      <c r="R44" s="10" t="inlineStr">
        <is>
          <t>Not started</t>
        </is>
      </c>
      <c r="S44" s="10" t="inlineStr"/>
      <c r="T44" s="16" t="inlineStr"/>
      <c r="U44" s="10" t="inlineStr"/>
    </row>
    <row r="45" ht="96" customHeight="1">
      <c r="A45" s="8" t="n">
        <v>44</v>
      </c>
      <c r="B45" s="26" t="inlineStr">
        <is>
          <t>P4</t>
        </is>
      </c>
      <c r="C45" s="10" t="inlineStr">
        <is>
          <t>Prospecting</t>
        </is>
      </c>
      <c r="D45" s="11" t="inlineStr">
        <is>
          <t>BuiltWith</t>
        </is>
      </c>
      <c r="E45" s="10" t="inlineStr">
        <is>
          <t>ICP Scoring Agent: tech-stack detection for fit scoring</t>
        </is>
      </c>
      <c r="F45" s="24" t="inlineStr">
        <is>
          <t>Optional</t>
        </is>
      </c>
      <c r="G45" s="13" t="inlineStr">
        <is>
          <t>Instant</t>
        </is>
      </c>
      <c r="H45" s="10" t="inlineStr">
        <is>
          <t>15 minutes</t>
        </is>
      </c>
      <c r="I45" s="10" t="inlineStr">
        <is>
          <t>None</t>
        </is>
      </c>
      <c r="J45" s="10" t="inlineStr">
        <is>
          <t>Monthly API plan</t>
        </is>
      </c>
      <c r="K45" s="14" t="n">
        <v>295</v>
      </c>
      <c r="L45" s="10" t="inlineStr">
        <is>
          <t>Limited free lookups</t>
        </is>
      </c>
      <c r="M45" s="15" t="inlineStr">
        <is>
          <t>https://api.builtwith.com</t>
        </is>
      </c>
      <c r="N45" s="15" t="inlineStr">
        <is>
          <t>https://api.builtwith.com</t>
        </is>
      </c>
      <c r="O45" s="10" t="inlineStr">
        <is>
          <t>1) Sign up for an API plan. 2) Copy the key. 3) Paste into BUILTWITH_API_KEY.</t>
        </is>
      </c>
      <c r="P45" s="10" t="inlineStr">
        <is>
          <t>BUILTWITH_API_KEY</t>
        </is>
      </c>
      <c r="Q45" s="10" t="inlineStr">
        <is>
          <t>Pricey for what it is. Apollo/PDL already return partial tech-stack data — check the gap before buying.</t>
        </is>
      </c>
      <c r="R45" s="10" t="inlineStr">
        <is>
          <t>Not started</t>
        </is>
      </c>
      <c r="S45" s="10" t="inlineStr"/>
      <c r="T45" s="16" t="inlineStr"/>
      <c r="U45" s="10" t="inlineStr"/>
    </row>
    <row r="46" ht="96" customHeight="1">
      <c r="A46" s="8" t="n">
        <v>45</v>
      </c>
      <c r="B46" s="26" t="inlineStr">
        <is>
          <t>P4</t>
        </is>
      </c>
      <c r="C46" s="10" t="inlineStr">
        <is>
          <t>Prospecting</t>
        </is>
      </c>
      <c r="D46" s="11" t="inlineStr">
        <is>
          <t>Proxycurl</t>
        </is>
      </c>
      <c r="E46" s="10" t="inlineStr">
        <is>
          <t>Research Agent: LinkedIn-compatible profile data via official-ish API</t>
        </is>
      </c>
      <c r="F46" s="24" t="inlineStr">
        <is>
          <t>Optional</t>
        </is>
      </c>
      <c r="G46" s="13" t="inlineStr">
        <is>
          <t>Instant</t>
        </is>
      </c>
      <c r="H46" s="10" t="inlineStr">
        <is>
          <t>10 minutes</t>
        </is>
      </c>
      <c r="I46" s="10" t="inlineStr">
        <is>
          <t>None</t>
        </is>
      </c>
      <c r="J46" s="10" t="inlineStr">
        <is>
          <t>Credits</t>
        </is>
      </c>
      <c r="K46" s="14" t="n">
        <v>49</v>
      </c>
      <c r="L46" s="10" t="inlineStr">
        <is>
          <t>Trial credits</t>
        </is>
      </c>
      <c r="M46" s="15" t="inlineStr">
        <is>
          <t>https://nubela.co/proxycurl</t>
        </is>
      </c>
      <c r="N46" s="15" t="inlineStr">
        <is>
          <t>https://nubela.co/proxycurl/docs</t>
        </is>
      </c>
      <c r="O46" s="10" t="inlineStr">
        <is>
          <t>1) Sign up. 2) Buy credits. 3) Copy the key -&gt; PROXYCURL_API_KEY.</t>
        </is>
      </c>
      <c r="P46" s="10" t="inlineStr">
        <is>
          <t>PROXYCURL_API_KEY</t>
        </is>
      </c>
      <c r="Q46" s="10" t="inlineStr">
        <is>
          <t>REVIEW THE LEGAL POSITION for your jurisdiction and target geos before using third-party LinkedIn data. The spec mandates platform-compliant automation only.</t>
        </is>
      </c>
      <c r="R46" s="10" t="inlineStr">
        <is>
          <t>Not started</t>
        </is>
      </c>
      <c r="S46" s="10" t="inlineStr"/>
      <c r="T46" s="16" t="inlineStr"/>
      <c r="U46" s="10" t="inlineStr"/>
    </row>
    <row r="47" ht="96" customHeight="1">
      <c r="A47" s="8" t="n">
        <v>46</v>
      </c>
      <c r="B47" s="26" t="inlineStr">
        <is>
          <t>P4</t>
        </is>
      </c>
      <c r="C47" s="10" t="inlineStr">
        <is>
          <t>CRM</t>
        </is>
      </c>
      <c r="D47" s="11" t="inlineStr">
        <is>
          <t>Salesforce</t>
        </is>
      </c>
      <c r="E47" s="10" t="inlineStr">
        <is>
          <t>CRM Agent (enterprise alternative to HubSpot)</t>
        </is>
      </c>
      <c r="F47" s="19" t="inlineStr">
        <is>
          <t>Alternative</t>
        </is>
      </c>
      <c r="G47" s="20" t="inlineStr">
        <is>
          <t>Medium</t>
        </is>
      </c>
      <c r="H47" s="10" t="inlineStr">
        <is>
          <t>1-3 days</t>
        </is>
      </c>
      <c r="I47" s="10" t="inlineStr">
        <is>
          <t>Salesforce org + admin rights</t>
        </is>
      </c>
      <c r="J47" s="10" t="inlineStr">
        <is>
          <t>Per-seat licence</t>
        </is>
      </c>
      <c r="K47" s="14" t="n">
        <v>165</v>
      </c>
      <c r="L47" s="10" t="inlineStr">
        <is>
          <t>Developer Edition free</t>
        </is>
      </c>
      <c r="M47" s="15" t="inlineStr">
        <is>
          <t>https://developer.salesforce.com</t>
        </is>
      </c>
      <c r="N47" s="15" t="inlineStr">
        <is>
          <t>https://developer.salesforce.com/docs</t>
        </is>
      </c>
      <c r="O47" s="10" t="inlineStr">
        <is>
          <t>1) Setup -&gt; App Manager -&gt; New Connected App. 2) Enable OAuth; scopes: api, refresh_token, offline_access. 3) Copy the Consumer Key/Secret. 4) Get your security token (Personal Settings -&gt; Reset Security Token, emailed). 5) Fill the SALESFORCE_* keys and set CRM_PROVIDER=salesforce.</t>
        </is>
      </c>
      <c r="P47" s="10" t="inlineStr">
        <is>
          <t>SALESFORCE_CLIENT_ID, SALESFORCE_CLIENT_SECRET, SALESFORCE_USERNAME, SALESFORCE_PASSWORD, SALESFORCE_SECURITY_TOKEN, SALESFORCE_INSTANCE_URL, CRM_PROVIDER</t>
        </is>
      </c>
      <c r="Q47" s="10" t="inlineStr">
        <is>
          <t>Use a free Developer Edition org to build against before touching production. Pick ONE CRM.</t>
        </is>
      </c>
      <c r="R47" s="10" t="inlineStr">
        <is>
          <t>Not started</t>
        </is>
      </c>
      <c r="S47" s="10" t="inlineStr"/>
      <c r="T47" s="16" t="inlineStr"/>
      <c r="U47" s="10" t="inlineStr"/>
    </row>
    <row r="48" ht="96" customHeight="1">
      <c r="A48" s="8" t="n">
        <v>47</v>
      </c>
      <c r="B48" s="26" t="inlineStr">
        <is>
          <t>P4</t>
        </is>
      </c>
      <c r="C48" s="10" t="inlineStr">
        <is>
          <t>CRM</t>
        </is>
      </c>
      <c r="D48" s="11" t="inlineStr">
        <is>
          <t>Pipedrive</t>
        </is>
      </c>
      <c r="E48" s="10" t="inlineStr">
        <is>
          <t>CRM Agent (SMB alternative)</t>
        </is>
      </c>
      <c r="F48" s="19" t="inlineStr">
        <is>
          <t>Alternative</t>
        </is>
      </c>
      <c r="G48" s="13" t="inlineStr">
        <is>
          <t>Instant</t>
        </is>
      </c>
      <c r="H48" s="10" t="inlineStr">
        <is>
          <t>10 minutes</t>
        </is>
      </c>
      <c r="I48" s="10" t="inlineStr">
        <is>
          <t>Pipedrive account</t>
        </is>
      </c>
      <c r="J48" s="10" t="inlineStr">
        <is>
          <t>Per-seat</t>
        </is>
      </c>
      <c r="K48" s="14" t="n">
        <v>24</v>
      </c>
      <c r="L48" s="10" t="inlineStr">
        <is>
          <t>Trial only</t>
        </is>
      </c>
      <c r="M48" s="15" t="inlineStr">
        <is>
          <t>https://app.pipedrive.com/settings/api</t>
        </is>
      </c>
      <c r="N48" s="15" t="inlineStr">
        <is>
          <t>https://developers.pipedrive.com</t>
        </is>
      </c>
      <c r="O48" s="10" t="inlineStr">
        <is>
          <t>1) Personal preferences -&gt; API -&gt; copy your personal API token. 2) Fill PIPEDRIVE_API_TOKEN, PIPEDRIVE_COMPANY_DOMAIN, CRM_PROVIDER=pipedrive.</t>
        </is>
      </c>
      <c r="P48" s="10" t="inlineStr">
        <is>
          <t>PIPEDRIVE_API_TOKEN, PIPEDRIVE_COMPANY_DOMAIN, CRM_PROVIDER</t>
        </is>
      </c>
      <c r="Q48" s="10" t="inlineStr">
        <is>
          <t>Simplest CRM API of the three. Pick ONE CRM.</t>
        </is>
      </c>
      <c r="R48" s="10" t="inlineStr">
        <is>
          <t>Not started</t>
        </is>
      </c>
      <c r="S48" s="10" t="inlineStr"/>
      <c r="T48" s="16" t="inlineStr"/>
      <c r="U48" s="10" t="inlineStr"/>
    </row>
    <row r="49" ht="96" customHeight="1">
      <c r="A49" s="8" t="n">
        <v>48</v>
      </c>
      <c r="B49" s="26" t="inlineStr">
        <is>
          <t>P4</t>
        </is>
      </c>
      <c r="C49" s="10" t="inlineStr">
        <is>
          <t>Outbound Sending</t>
        </is>
      </c>
      <c r="D49" s="11" t="inlineStr">
        <is>
          <t>Microsoft Graph</t>
        </is>
      </c>
      <c r="E49" s="10" t="inlineStr">
        <is>
          <t>Reply Intelligence + AI SDR for Microsoft 365 shops</t>
        </is>
      </c>
      <c r="F49" s="19" t="inlineStr">
        <is>
          <t>Alternative</t>
        </is>
      </c>
      <c r="G49" s="20" t="inlineStr">
        <is>
          <t>Medium</t>
        </is>
      </c>
      <c r="H49" s="10" t="inlineStr">
        <is>
          <t>1-3 days</t>
        </is>
      </c>
      <c r="I49" s="10" t="inlineStr">
        <is>
          <t>Microsoft 365 tenant + admin consent</t>
        </is>
      </c>
      <c r="J49" s="10" t="inlineStr">
        <is>
          <t>Free with M365</t>
        </is>
      </c>
      <c r="K49" s="14" t="n">
        <v>0</v>
      </c>
      <c r="L49" s="10" t="inlineStr">
        <is>
          <t>Free with M365</t>
        </is>
      </c>
      <c r="M49" s="15" t="inlineStr">
        <is>
          <t>https://portal.azure.com</t>
        </is>
      </c>
      <c r="N49" s="15" t="inlineStr">
        <is>
          <t>https://learn.microsoft.com/graph</t>
        </is>
      </c>
      <c r="O49" s="10" t="inlineStr">
        <is>
          <t>1) Entra ID (Azure AD) -&gt; App registrations -&gt; New registration. 2) API permissions -&gt; Microsoft Graph -&gt; Mail.Read, Mail.Send, Calendars.ReadWrite -&gt; Grant admin consent. 3) Certificates &amp; secrets -&gt; New client secret -&gt; copy the VALUE (not the ID). 4) Fill MS_GRAPH_TENANT_ID, MS_GRAPH_CLIENT_ID, MS_GRAPH_CLIENT_SECRET.</t>
        </is>
      </c>
      <c r="P49" s="10" t="inlineStr">
        <is>
          <t>MS_GRAPH_TENANT_ID, MS_GRAPH_CLIENT_ID, MS_GRAPH_CLIENT_SECRET</t>
        </is>
      </c>
      <c r="Q49" s="10" t="inlineStr">
        <is>
          <t>Needs a tenant admin to grant consent — book that person's time early. Alternative to Gmail, not a complement.</t>
        </is>
      </c>
      <c r="R49" s="10" t="inlineStr">
        <is>
          <t>Not started</t>
        </is>
      </c>
      <c r="S49" s="10" t="inlineStr"/>
      <c r="T49" s="16" t="inlineStr"/>
      <c r="U49" s="10" t="inlineStr"/>
    </row>
    <row r="50" ht="96" customHeight="1">
      <c r="A50" s="8" t="n">
        <v>49</v>
      </c>
      <c r="B50" s="26" t="inlineStr">
        <is>
          <t>P4</t>
        </is>
      </c>
      <c r="C50" s="10" t="inlineStr">
        <is>
          <t>Outbound Sending</t>
        </is>
      </c>
      <c r="D50" s="11" t="inlineStr">
        <is>
          <t>Smartlead</t>
        </is>
      </c>
      <c r="E50" s="10" t="inlineStr">
        <is>
          <t>AI Sequence Agent (alternative to Instantly)</t>
        </is>
      </c>
      <c r="F50" s="19" t="inlineStr">
        <is>
          <t>Alternative</t>
        </is>
      </c>
      <c r="G50" s="18" t="inlineStr">
        <is>
          <t>Easy</t>
        </is>
      </c>
      <c r="H50" s="10" t="inlineStr">
        <is>
          <t>1 day + warmup</t>
        </is>
      </c>
      <c r="I50" s="10" t="inlineStr">
        <is>
          <t>Sending domains + mailboxes</t>
        </is>
      </c>
      <c r="J50" s="10" t="inlineStr">
        <is>
          <t>Monthly per seat</t>
        </is>
      </c>
      <c r="K50" s="14" t="n">
        <v>39</v>
      </c>
      <c r="L50" s="10" t="inlineStr">
        <is>
          <t>Trial</t>
        </is>
      </c>
      <c r="M50" s="15" t="inlineStr">
        <is>
          <t>https://app.smartlead.ai</t>
        </is>
      </c>
      <c r="N50" s="15" t="inlineStr">
        <is>
          <t>https://api.smartlead.ai/reference</t>
        </is>
      </c>
      <c r="O50" s="10" t="inlineStr">
        <is>
          <t>1) Sign up, connect mailboxes, enable warmup. 2) Settings -&gt; API -&gt; copy key. 3) Set SMARTLEAD_API_KEY and OUTBOUND_PROVIDER=smartlead.</t>
        </is>
      </c>
      <c r="P50" s="10" t="inlineStr">
        <is>
          <t>SMARTLEAD_API_KEY, OUTBOUND_PROVIDER</t>
        </is>
      </c>
      <c r="Q50" s="10" t="inlineStr">
        <is>
          <t>Pick ONE sending platform. Same domain/warmup prerequisites as Instantly.</t>
        </is>
      </c>
      <c r="R50" s="10" t="inlineStr">
        <is>
          <t>Not started</t>
        </is>
      </c>
      <c r="S50" s="10" t="inlineStr"/>
      <c r="T50" s="16" t="inlineStr"/>
      <c r="U50" s="10" t="inlineStr"/>
    </row>
    <row r="51" ht="96" customHeight="1">
      <c r="A51" s="8" t="n">
        <v>50</v>
      </c>
      <c r="B51" s="26" t="inlineStr">
        <is>
          <t>P4</t>
        </is>
      </c>
      <c r="C51" s="10" t="inlineStr">
        <is>
          <t>Outbound Sending</t>
        </is>
      </c>
      <c r="D51" s="11" t="inlineStr">
        <is>
          <t>lemlist</t>
        </is>
      </c>
      <c r="E51" s="10" t="inlineStr">
        <is>
          <t>AI Sequence Agent with native LinkedIn steps</t>
        </is>
      </c>
      <c r="F51" s="19" t="inlineStr">
        <is>
          <t>Alternative</t>
        </is>
      </c>
      <c r="G51" s="18" t="inlineStr">
        <is>
          <t>Easy</t>
        </is>
      </c>
      <c r="H51" s="10" t="inlineStr">
        <is>
          <t>1 day + warmup</t>
        </is>
      </c>
      <c r="I51" s="10" t="inlineStr">
        <is>
          <t>Sending domains + mailboxes</t>
        </is>
      </c>
      <c r="J51" s="10" t="inlineStr">
        <is>
          <t>Monthly per seat</t>
        </is>
      </c>
      <c r="K51" s="14" t="n">
        <v>69</v>
      </c>
      <c r="L51" s="10" t="inlineStr">
        <is>
          <t>Trial</t>
        </is>
      </c>
      <c r="M51" s="15" t="inlineStr">
        <is>
          <t>https://app.lemlist.com</t>
        </is>
      </c>
      <c r="N51" s="15" t="inlineStr">
        <is>
          <t>https://developer.lemlist.com</t>
        </is>
      </c>
      <c r="O51" s="10" t="inlineStr">
        <is>
          <t>1) Sign up, connect mailboxes, enable warmup. 2) Settings -&gt; Integrations -&gt; API -&gt; copy key. 3) Set LEMLIST_API_KEY and OUTBOUND_PROVIDER=lemlist.</t>
        </is>
      </c>
      <c r="P51" s="10" t="inlineStr">
        <is>
          <t>LEMLIST_API_KEY, OUTBOUND_PROVIDER</t>
        </is>
      </c>
      <c r="Q51" s="10" t="inlineStr">
        <is>
          <t>Its LinkedIn steps are the differentiator if the LinkedIn API approval stalls. Pick ONE sending platform.</t>
        </is>
      </c>
      <c r="R51" s="10" t="inlineStr">
        <is>
          <t>Not started</t>
        </is>
      </c>
      <c r="S51" s="10" t="inlineStr"/>
      <c r="T51" s="16" t="inlineStr"/>
      <c r="U51" s="10" t="inlineStr"/>
    </row>
    <row r="52" ht="96" customHeight="1">
      <c r="A52" s="8" t="n">
        <v>51</v>
      </c>
      <c r="B52" s="26" t="inlineStr">
        <is>
          <t>P4</t>
        </is>
      </c>
      <c r="C52" s="10" t="inlineStr">
        <is>
          <t>Outbound Sending</t>
        </is>
      </c>
      <c r="D52" s="11" t="inlineStr">
        <is>
          <t>Calendly</t>
        </is>
      </c>
      <c r="E52" s="10" t="inlineStr">
        <is>
          <t>AI SDR meeting booking (alternative to Cal.com)</t>
        </is>
      </c>
      <c r="F52" s="19" t="inlineStr">
        <is>
          <t>Alternative</t>
        </is>
      </c>
      <c r="G52" s="13" t="inlineStr">
        <is>
          <t>Instant</t>
        </is>
      </c>
      <c r="H52" s="10" t="inlineStr">
        <is>
          <t>10 minutes</t>
        </is>
      </c>
      <c r="I52" s="10" t="inlineStr">
        <is>
          <t>Paid plan for API</t>
        </is>
      </c>
      <c r="J52" s="10" t="inlineStr">
        <is>
          <t>Per-seat</t>
        </is>
      </c>
      <c r="K52" s="14" t="n">
        <v>12</v>
      </c>
      <c r="L52" s="10" t="inlineStr">
        <is>
          <t>Free tier lacks API</t>
        </is>
      </c>
      <c r="M52" s="15" t="inlineStr">
        <is>
          <t>https://calendly.com/integrations/api_webhooks</t>
        </is>
      </c>
      <c r="N52" s="15" t="inlineStr">
        <is>
          <t>https://developer.calendly.com</t>
        </is>
      </c>
      <c r="O52" s="10" t="inlineStr">
        <is>
          <t>1) Upgrade to a paid plan. 2) Integrations -&gt; API &amp; Webhooks -&gt; generate a personal access token. 3) Paste into CALENDLY_API_KEY.</t>
        </is>
      </c>
      <c r="P52" s="10" t="inlineStr">
        <is>
          <t>CALENDLY_API_KEY</t>
        </is>
      </c>
      <c r="Q52" s="10" t="inlineStr">
        <is>
          <t>API requires a paid tier; Cal.com's free tier includes API access.</t>
        </is>
      </c>
      <c r="R52" s="10" t="inlineStr">
        <is>
          <t>Not started</t>
        </is>
      </c>
      <c r="S52" s="10" t="inlineStr"/>
      <c r="T52" s="16" t="inlineStr"/>
      <c r="U52" s="10" t="inlineStr"/>
    </row>
    <row r="53" ht="96" customHeight="1">
      <c r="A53" s="8" t="n">
        <v>52</v>
      </c>
      <c r="B53" s="26" t="inlineStr">
        <is>
          <t>P4</t>
        </is>
      </c>
      <c r="C53" s="10" t="inlineStr">
        <is>
          <t>Email Marketing</t>
        </is>
      </c>
      <c r="D53" s="11" t="inlineStr">
        <is>
          <t>Klaviyo</t>
        </is>
      </c>
      <c r="E53" s="10" t="inlineStr">
        <is>
          <t>Lifecycle Agent (e-commerce-oriented flows)</t>
        </is>
      </c>
      <c r="F53" s="19" t="inlineStr">
        <is>
          <t>Alternative</t>
        </is>
      </c>
      <c r="G53" s="13" t="inlineStr">
        <is>
          <t>Instant</t>
        </is>
      </c>
      <c r="H53" s="10" t="inlineStr">
        <is>
          <t>15 minutes</t>
        </is>
      </c>
      <c r="I53" s="10" t="inlineStr">
        <is>
          <t>Klaviyo account</t>
        </is>
      </c>
      <c r="J53" s="10" t="inlineStr">
        <is>
          <t>By profile count</t>
        </is>
      </c>
      <c r="K53" s="14" t="n">
        <v>45</v>
      </c>
      <c r="L53" s="10" t="inlineStr">
        <is>
          <t>Free to 250 profiles</t>
        </is>
      </c>
      <c r="M53" s="15" t="inlineStr">
        <is>
          <t>https://www.klaviyo.com</t>
        </is>
      </c>
      <c r="N53" s="15" t="inlineStr">
        <is>
          <t>https://developers.klaviyo.com</t>
        </is>
      </c>
      <c r="O53" s="10" t="inlineStr">
        <is>
          <t>1) Sign up. 2) Settings -&gt; API Keys -&gt; create a Private API key with the scopes you need. 3) Paste into KLAVIYO_API_KEY and set ESP_PROVIDER=klaviyo.</t>
        </is>
      </c>
      <c r="P53" s="10" t="inlineStr">
        <is>
          <t>KLAVIYO_API_KEY, ESP_PROVIDER</t>
        </is>
      </c>
      <c r="Q53" s="10" t="inlineStr">
        <is>
          <t>Best for e-commerce lifecycle. Pick ONE ESP.</t>
        </is>
      </c>
      <c r="R53" s="10" t="inlineStr">
        <is>
          <t>Not started</t>
        </is>
      </c>
      <c r="S53" s="10" t="inlineStr"/>
      <c r="T53" s="16" t="inlineStr"/>
      <c r="U53" s="10" t="inlineStr"/>
    </row>
    <row r="54" ht="96" customHeight="1">
      <c r="A54" s="8" t="n">
        <v>53</v>
      </c>
      <c r="B54" s="26" t="inlineStr">
        <is>
          <t>P4</t>
        </is>
      </c>
      <c r="C54" s="10" t="inlineStr">
        <is>
          <t>Email Marketing</t>
        </is>
      </c>
      <c r="D54" s="11" t="inlineStr">
        <is>
          <t>Mailchimp</t>
        </is>
      </c>
      <c r="E54" s="10" t="inlineStr">
        <is>
          <t>Email Marketing Agent (newsletter-oriented)</t>
        </is>
      </c>
      <c r="F54" s="19" t="inlineStr">
        <is>
          <t>Alternative</t>
        </is>
      </c>
      <c r="G54" s="13" t="inlineStr">
        <is>
          <t>Instant</t>
        </is>
      </c>
      <c r="H54" s="10" t="inlineStr">
        <is>
          <t>10 minutes</t>
        </is>
      </c>
      <c r="I54" s="10" t="inlineStr">
        <is>
          <t>Mailchimp account</t>
        </is>
      </c>
      <c r="J54" s="10" t="inlineStr">
        <is>
          <t>By contact count</t>
        </is>
      </c>
      <c r="K54" s="14" t="n">
        <v>20</v>
      </c>
      <c r="L54" s="10" t="inlineStr">
        <is>
          <t>Free to 500 contacts</t>
        </is>
      </c>
      <c r="M54" s="15" t="inlineStr">
        <is>
          <t>https://mailchimp.com</t>
        </is>
      </c>
      <c r="N54" s="15" t="inlineStr">
        <is>
          <t>https://mailchimp.com/developer</t>
        </is>
      </c>
      <c r="O54" s="10" t="inlineStr">
        <is>
          <t>1) Sign up. 2) Account -&gt; Extras -&gt; API keys -&gt; create. 3) Note the server prefix (the 'us21' in your dashboard URL). 4) Fill MAILCHIMP_API_KEY, MAILCHIMP_SERVER_PREFIX, ESP_PROVIDER=mailchimp.</t>
        </is>
      </c>
      <c r="P54" s="10" t="inlineStr">
        <is>
          <t>MAILCHIMP_API_KEY, MAILCHIMP_SERVER_PREFIX, ESP_PROVIDER</t>
        </is>
      </c>
      <c r="Q54" s="10" t="inlineStr">
        <is>
          <t>The server prefix is required and easy to miss. Pick ONE ESP.</t>
        </is>
      </c>
      <c r="R54" s="10" t="inlineStr">
        <is>
          <t>Not started</t>
        </is>
      </c>
      <c r="S54" s="10" t="inlineStr"/>
      <c r="T54" s="16" t="inlineStr"/>
      <c r="U54" s="10" t="inlineStr"/>
    </row>
    <row r="55" ht="96" customHeight="1">
      <c r="A55" s="8" t="n">
        <v>54</v>
      </c>
      <c r="B55" s="26" t="inlineStr">
        <is>
          <t>P4</t>
        </is>
      </c>
      <c r="C55" s="10" t="inlineStr">
        <is>
          <t>Email Marketing</t>
        </is>
      </c>
      <c r="D55" s="11" t="inlineStr">
        <is>
          <t>Brevo</t>
        </is>
      </c>
      <c r="E55" s="10" t="inlineStr">
        <is>
          <t>Email Marketing + SMS (cheap alternative)</t>
        </is>
      </c>
      <c r="F55" s="19" t="inlineStr">
        <is>
          <t>Alternative</t>
        </is>
      </c>
      <c r="G55" s="13" t="inlineStr">
        <is>
          <t>Instant</t>
        </is>
      </c>
      <c r="H55" s="10" t="inlineStr">
        <is>
          <t>10 minutes</t>
        </is>
      </c>
      <c r="I55" s="10" t="inlineStr">
        <is>
          <t>Brevo account</t>
        </is>
      </c>
      <c r="J55" s="10" t="inlineStr">
        <is>
          <t>Emails/day or month</t>
        </is>
      </c>
      <c r="K55" s="14" t="n">
        <v>25</v>
      </c>
      <c r="L55" s="10" t="inlineStr">
        <is>
          <t>300 emails/day free</t>
        </is>
      </c>
      <c r="M55" s="15" t="inlineStr">
        <is>
          <t>https://app.brevo.com</t>
        </is>
      </c>
      <c r="N55" s="15" t="inlineStr">
        <is>
          <t>https://developers.brevo.com</t>
        </is>
      </c>
      <c r="O55" s="10" t="inlineStr">
        <is>
          <t>1) Sign up. 2) SMTP &amp; API -&gt; API Keys -&gt; generate. 3) Paste into BREVO_API_KEY, set ESP_PROVIDER=brevo.</t>
        </is>
      </c>
      <c r="P55" s="10" t="inlineStr">
        <is>
          <t>BREVO_API_KEY, ESP_PROVIDER</t>
        </is>
      </c>
      <c r="Q55" s="10" t="inlineStr">
        <is>
          <t>Cheapest of the ESPs at low volume. Pick ONE ESP.</t>
        </is>
      </c>
      <c r="R55" s="10" t="inlineStr">
        <is>
          <t>Not started</t>
        </is>
      </c>
      <c r="S55" s="10" t="inlineStr"/>
      <c r="T55" s="16" t="inlineStr"/>
      <c r="U55" s="10" t="inlineStr"/>
    </row>
    <row r="56" ht="96" customHeight="1">
      <c r="A56" s="8" t="n">
        <v>55</v>
      </c>
      <c r="B56" s="26" t="inlineStr">
        <is>
          <t>P4</t>
        </is>
      </c>
      <c r="C56" s="10" t="inlineStr">
        <is>
          <t>WhatsApp / SMS</t>
        </is>
      </c>
      <c r="D56" s="11" t="inlineStr">
        <is>
          <t>Twilio</t>
        </is>
      </c>
      <c r="E56" s="10" t="inlineStr">
        <is>
          <t>Lifecycle Agent: SMS fallback</t>
        </is>
      </c>
      <c r="F56" s="24" t="inlineStr">
        <is>
          <t>Optional</t>
        </is>
      </c>
      <c r="G56" s="13" t="inlineStr">
        <is>
          <t>Instant</t>
        </is>
      </c>
      <c r="H56" s="10" t="inlineStr">
        <is>
          <t>1 day (number purchase)</t>
        </is>
      </c>
      <c r="I56" s="10" t="inlineStr">
        <is>
          <t>Card + number purchase</t>
        </is>
      </c>
      <c r="J56" s="10" t="inlineStr">
        <is>
          <t>Per-message + number rental</t>
        </is>
      </c>
      <c r="K56" s="14" t="n">
        <v>20</v>
      </c>
      <c r="L56" s="10" t="inlineStr">
        <is>
          <t>Trial credit</t>
        </is>
      </c>
      <c r="M56" s="15" t="inlineStr">
        <is>
          <t>https://console.twilio.com</t>
        </is>
      </c>
      <c r="N56" s="15" t="inlineStr">
        <is>
          <t>https://www.twilio.com/docs</t>
        </is>
      </c>
      <c r="O56" s="10" t="inlineStr">
        <is>
          <t>1) Sign up. 2) Buy a phone number with SMS capability. 3) Console dashboard -&gt; copy Account SID + Auth Token. 4) Fill TWILIO_ACCOUNT_SID, TWILIO_AUTH_TOKEN, TWILIO_FROM_NUMBER.</t>
        </is>
      </c>
      <c r="P56" s="10" t="inlineStr">
        <is>
          <t>TWILIO_ACCOUNT_SID, TWILIO_AUTH_TOKEN, TWILIO_FROM_NUMBER</t>
        </is>
      </c>
      <c r="Q56" s="10" t="inlineStr">
        <is>
          <t>A2P 10DLC registration is required for US SMS and takes extra days. Check per-country SMS regulations.</t>
        </is>
      </c>
      <c r="R56" s="10" t="inlineStr">
        <is>
          <t>Not started</t>
        </is>
      </c>
      <c r="S56" s="10" t="inlineStr"/>
      <c r="T56" s="16" t="inlineStr"/>
      <c r="U56" s="10" t="inlineStr"/>
    </row>
    <row r="57" ht="96" customHeight="1">
      <c r="A57" s="8" t="n">
        <v>56</v>
      </c>
      <c r="B57" s="26" t="inlineStr">
        <is>
          <t>P4</t>
        </is>
      </c>
      <c r="C57" s="10" t="inlineStr">
        <is>
          <t>Paid Media</t>
        </is>
      </c>
      <c r="D57" s="11" t="inlineStr">
        <is>
          <t>X (Twitter) Ads</t>
        </is>
      </c>
      <c r="E57" s="10" t="inlineStr">
        <is>
          <t>Paid Media Agent: X campaigns</t>
        </is>
      </c>
      <c r="F57" s="24" t="inlineStr">
        <is>
          <t>Optional</t>
        </is>
      </c>
      <c r="G57" s="21" t="inlineStr">
        <is>
          <t>Hard</t>
        </is>
      </c>
      <c r="H57" s="10" t="inlineStr">
        <is>
          <t>2-6 weeks</t>
        </is>
      </c>
      <c r="I57" s="10" t="inlineStr">
        <is>
          <t>Paid API tier + Ads account</t>
        </is>
      </c>
      <c r="J57" s="10" t="inlineStr">
        <is>
          <t>API subscription + ad spend</t>
        </is>
      </c>
      <c r="K57" s="14" t="n">
        <v>200</v>
      </c>
      <c r="L57" s="10" t="inlineStr">
        <is>
          <t>None meaningful</t>
        </is>
      </c>
      <c r="M57" s="15" t="inlineStr">
        <is>
          <t>https://developer.x.com</t>
        </is>
      </c>
      <c r="N57" s="15" t="inlineStr">
        <is>
          <t>https://developer.x.com/en/docs/x-ads-api</t>
        </is>
      </c>
      <c r="O57" s="10" t="inlineStr">
        <is>
          <t>1) Subscribe to a paid X API tier. 2) Create a project + app. 3) Apply separately for Ads API access with a business justification. 4) Generate consumer keys and access tokens. 5) Fill the X_* keys.</t>
        </is>
      </c>
      <c r="P57" s="10" t="inlineStr">
        <is>
          <t>X_API_KEY, X_API_SECRET, X_ACCESS_TOKEN, X_ACCESS_TOKEN_SECRET, X_ADS_ACCOUNT_ID</t>
        </is>
      </c>
      <c r="Q57" s="10" t="inlineStr">
        <is>
          <t>Poor cost/benefit for most B2B. Lowest priority of all the paid channels.</t>
        </is>
      </c>
      <c r="R57" s="10" t="inlineStr">
        <is>
          <t>Not started</t>
        </is>
      </c>
      <c r="S57" s="10" t="inlineStr"/>
      <c r="T57" s="16" t="inlineStr"/>
      <c r="U57" s="10" t="inlineStr"/>
    </row>
    <row r="58" ht="96" customHeight="1">
      <c r="A58" s="8" t="n">
        <v>57</v>
      </c>
      <c r="B58" s="26" t="inlineStr">
        <is>
          <t>P4</t>
        </is>
      </c>
      <c r="C58" s="10" t="inlineStr">
        <is>
          <t>Organic Social</t>
        </is>
      </c>
      <c r="D58" s="11" t="inlineStr">
        <is>
          <t>TikTok Content Posting</t>
        </is>
      </c>
      <c r="E58" s="10" t="inlineStr">
        <is>
          <t>Social Media Agent: organic TikTok publishing</t>
        </is>
      </c>
      <c r="F58" s="24" t="inlineStr">
        <is>
          <t>Optional</t>
        </is>
      </c>
      <c r="G58" s="21" t="inlineStr">
        <is>
          <t>Hard</t>
        </is>
      </c>
      <c r="H58" s="10" t="inlineStr">
        <is>
          <t>1-3 weeks</t>
        </is>
      </c>
      <c r="I58" s="10" t="inlineStr">
        <is>
          <t>TikTok developer app</t>
        </is>
      </c>
      <c r="J58" s="10" t="inlineStr">
        <is>
          <t>Free</t>
        </is>
      </c>
      <c r="K58" s="14" t="n">
        <v>0</v>
      </c>
      <c r="L58" s="10" t="inlineStr">
        <is>
          <t>Free</t>
        </is>
      </c>
      <c r="M58" s="15" t="inlineStr">
        <is>
          <t>https://developers.tiktok.com</t>
        </is>
      </c>
      <c r="N58" s="15" t="inlineStr">
        <is>
          <t>https://developers.tiktok.com/doc/content-posting-api-get-started</t>
        </is>
      </c>
      <c r="O58" s="10" t="inlineStr">
        <is>
          <t>1) developers.tiktok.com -&gt; create an app. 2) Add the 'Content Posting API' product and apply (separate from Ads). 3) Complete the URL-ownership verification. 4) Fill TIKTOK_CONTENT_CLIENT_KEY and TIKTOK_CONTENT_CLIENT_SECRET.</t>
        </is>
      </c>
      <c r="P58" s="10" t="inlineStr">
        <is>
          <t>TIKTOK_CONTENT_CLIENT_KEY, TIKTOK_CONTENT_CLIENT_SECRET</t>
        </is>
      </c>
      <c r="Q58" s="10" t="inlineStr">
        <is>
          <t>A DIFFERENT app and approval from TikTok Ads. Ayrshare is the shortcut if you just want to publish.</t>
        </is>
      </c>
      <c r="R58" s="10" t="inlineStr">
        <is>
          <t>Not started</t>
        </is>
      </c>
      <c r="S58" s="10" t="inlineStr"/>
      <c r="T58" s="16" t="inlineStr"/>
      <c r="U58" s="10" t="inlineStr"/>
    </row>
    <row r="59" ht="96" customHeight="1">
      <c r="A59" s="8" t="n">
        <v>58</v>
      </c>
      <c r="B59" s="26" t="inlineStr">
        <is>
          <t>P4</t>
        </is>
      </c>
      <c r="C59" s="10" t="inlineStr">
        <is>
          <t>SEO &amp; Research</t>
        </is>
      </c>
      <c r="D59" s="11" t="inlineStr">
        <is>
          <t>Semrush</t>
        </is>
      </c>
      <c r="E59" s="10" t="inlineStr">
        <is>
          <t>SEO + Competitor Intelligence: keyword and competitor data</t>
        </is>
      </c>
      <c r="F59" s="24" t="inlineStr">
        <is>
          <t>Optional</t>
        </is>
      </c>
      <c r="G59" s="20" t="inlineStr">
        <is>
          <t>Medium</t>
        </is>
      </c>
      <c r="H59" s="10" t="inlineStr">
        <is>
          <t>1 day</t>
        </is>
      </c>
      <c r="I59" s="10" t="inlineStr">
        <is>
          <t>Business plan for API</t>
        </is>
      </c>
      <c r="J59" s="10" t="inlineStr">
        <is>
          <t>API units on Business plan</t>
        </is>
      </c>
      <c r="K59" s="14" t="n">
        <v>500</v>
      </c>
      <c r="L59" s="10" t="inlineStr">
        <is>
          <t>None for API</t>
        </is>
      </c>
      <c r="M59" s="15" t="inlineStr">
        <is>
          <t>https://www.semrush.com/api-documentation/</t>
        </is>
      </c>
      <c r="N59" s="15" t="inlineStr">
        <is>
          <t>https://developer.semrush.com</t>
        </is>
      </c>
      <c r="O59" s="10" t="inlineStr">
        <is>
          <t>1) Subscribe to the Business plan (API access is gated to it). 2) Profile -&gt; Subscription info -&gt; API units -&gt; copy key. 3) Paste into SEMRUSH_API_KEY.</t>
        </is>
      </c>
      <c r="P59" s="10" t="inlineStr">
        <is>
          <t>SEMRUSH_API_KEY</t>
        </is>
      </c>
      <c r="Q59" s="10" t="inlineStr">
        <is>
          <t>Expensive — the API sits behind the top tier. SerpApi + Search Console cover most of the need for far less.</t>
        </is>
      </c>
      <c r="R59" s="10" t="inlineStr">
        <is>
          <t>Not started</t>
        </is>
      </c>
      <c r="S59" s="10" t="inlineStr"/>
      <c r="T59" s="16" t="inlineStr"/>
      <c r="U59" s="10" t="inlineStr"/>
    </row>
    <row r="60" ht="96" customHeight="1">
      <c r="A60" s="8" t="n">
        <v>59</v>
      </c>
      <c r="B60" s="26" t="inlineStr">
        <is>
          <t>P4</t>
        </is>
      </c>
      <c r="C60" s="10" t="inlineStr">
        <is>
          <t>SEO &amp; Research</t>
        </is>
      </c>
      <c r="D60" s="11" t="inlineStr">
        <is>
          <t>Ahrefs</t>
        </is>
      </c>
      <c r="E60" s="10" t="inlineStr">
        <is>
          <t>SEO Agent: backlinks and keyword difficulty</t>
        </is>
      </c>
      <c r="F60" s="24" t="inlineStr">
        <is>
          <t>Optional</t>
        </is>
      </c>
      <c r="G60" s="20" t="inlineStr">
        <is>
          <t>Medium</t>
        </is>
      </c>
      <c r="H60" s="10" t="inlineStr">
        <is>
          <t>1 day</t>
        </is>
      </c>
      <c r="I60" s="10" t="inlineStr">
        <is>
          <t>Enterprise/API plan</t>
        </is>
      </c>
      <c r="J60" s="10" t="inlineStr">
        <is>
          <t>API add-on</t>
        </is>
      </c>
      <c r="K60" s="14" t="n">
        <v>500</v>
      </c>
      <c r="L60" s="10" t="inlineStr">
        <is>
          <t>None for API</t>
        </is>
      </c>
      <c r="M60" s="15" t="inlineStr">
        <is>
          <t>https://ahrefs.com/api</t>
        </is>
      </c>
      <c r="N60" s="15" t="inlineStr">
        <is>
          <t>https://ahrefs.com/api/documentation</t>
        </is>
      </c>
      <c r="O60" s="10" t="inlineStr">
        <is>
          <t>1) Subscribe to a plan with API access. 2) Account -&gt; API -&gt; generate token. 3) Paste into AHREFS_API_KEY.</t>
        </is>
      </c>
      <c r="P60" s="10" t="inlineStr">
        <is>
          <t>AHREFS_API_KEY</t>
        </is>
      </c>
      <c r="Q60" s="10" t="inlineStr">
        <is>
          <t>Same story as Semrush — high cost, late priority. Pick at most one SEO suite.</t>
        </is>
      </c>
      <c r="R60" s="10" t="inlineStr">
        <is>
          <t>Not started</t>
        </is>
      </c>
      <c r="S60" s="10" t="inlineStr"/>
      <c r="T60" s="16" t="inlineStr"/>
      <c r="U60" s="10" t="inlineStr"/>
    </row>
    <row r="61" ht="96" customHeight="1">
      <c r="A61" s="8" t="n">
        <v>60</v>
      </c>
      <c r="B61" s="26" t="inlineStr">
        <is>
          <t>P4</t>
        </is>
      </c>
      <c r="C61" s="10" t="inlineStr">
        <is>
          <t>SEO &amp; Research</t>
        </is>
      </c>
      <c r="D61" s="11" t="inlineStr">
        <is>
          <t>Exa</t>
        </is>
      </c>
      <c r="E61" s="10" t="inlineStr">
        <is>
          <t>AI Research Agent: neural/semantic web search</t>
        </is>
      </c>
      <c r="F61" s="19" t="inlineStr">
        <is>
          <t>Alternative</t>
        </is>
      </c>
      <c r="G61" s="13" t="inlineStr">
        <is>
          <t>Instant</t>
        </is>
      </c>
      <c r="H61" s="10" t="inlineStr">
        <is>
          <t>5 minutes</t>
        </is>
      </c>
      <c r="I61" s="10" t="inlineStr">
        <is>
          <t>None</t>
        </is>
      </c>
      <c r="J61" s="10" t="inlineStr">
        <is>
          <t>Per-search</t>
        </is>
      </c>
      <c r="K61" s="14" t="n">
        <v>25</v>
      </c>
      <c r="L61" s="10" t="inlineStr">
        <is>
          <t>Free credits</t>
        </is>
      </c>
      <c r="M61" s="15" t="inlineStr">
        <is>
          <t>https://dashboard.exa.ai</t>
        </is>
      </c>
      <c r="N61" s="15" t="inlineStr">
        <is>
          <t>https://docs.exa.ai</t>
        </is>
      </c>
      <c r="O61" s="10" t="inlineStr">
        <is>
          <t>1) Sign up. 2) Copy the API key. 3) Paste into EXA_API_KEY.</t>
        </is>
      </c>
      <c r="P61" s="10" t="inlineStr">
        <is>
          <t>EXA_API_KEY</t>
        </is>
      </c>
      <c r="Q61" s="10" t="inlineStr">
        <is>
          <t>Alternative to Tavily — you do not need both.</t>
        </is>
      </c>
      <c r="R61" s="10" t="inlineStr">
        <is>
          <t>Not started</t>
        </is>
      </c>
      <c r="S61" s="10" t="inlineStr"/>
      <c r="T61" s="16" t="inlineStr"/>
      <c r="U61" s="10" t="inlineStr"/>
    </row>
    <row r="62" ht="96" customHeight="1">
      <c r="A62" s="8" t="n">
        <v>61</v>
      </c>
      <c r="B62" s="26" t="inlineStr">
        <is>
          <t>P4</t>
        </is>
      </c>
      <c r="C62" s="10" t="inlineStr">
        <is>
          <t>SEO &amp; Research</t>
        </is>
      </c>
      <c r="D62" s="11" t="inlineStr">
        <is>
          <t>NewsAPI</t>
        </is>
      </c>
      <c r="E62" s="10" t="inlineStr">
        <is>
          <t>Market Intelligence Agent: news monitoring for signals</t>
        </is>
      </c>
      <c r="F62" s="24" t="inlineStr">
        <is>
          <t>Optional</t>
        </is>
      </c>
      <c r="G62" s="13" t="inlineStr">
        <is>
          <t>Instant</t>
        </is>
      </c>
      <c r="H62" s="10" t="inlineStr">
        <is>
          <t>5 minutes</t>
        </is>
      </c>
      <c r="I62" s="10" t="inlineStr">
        <is>
          <t>None</t>
        </is>
      </c>
      <c r="J62" s="10" t="inlineStr">
        <is>
          <t>Requests/day</t>
        </is>
      </c>
      <c r="K62" s="14" t="n">
        <v>0</v>
      </c>
      <c r="L62" s="10" t="inlineStr">
        <is>
          <t>Free for dev (non-commercial)</t>
        </is>
      </c>
      <c r="M62" s="15" t="inlineStr">
        <is>
          <t>https://newsapi.org</t>
        </is>
      </c>
      <c r="N62" s="15" t="inlineStr">
        <is>
          <t>https://newsapi.org/docs</t>
        </is>
      </c>
      <c r="O62" s="10" t="inlineStr">
        <is>
          <t>1) Register. 2) Copy the API key. 3) Paste into NEWSAPI_KEY.</t>
        </is>
      </c>
      <c r="P62" s="10" t="inlineStr">
        <is>
          <t>NEWSAPI_KEY</t>
        </is>
      </c>
      <c r="Q62" s="10" t="inlineStr">
        <is>
          <t>The free tier is development-only and delayed — you must upgrade for production/commercial use.</t>
        </is>
      </c>
      <c r="R62" s="10" t="inlineStr">
        <is>
          <t>Not started</t>
        </is>
      </c>
      <c r="S62" s="10" t="inlineStr"/>
      <c r="T62" s="16" t="inlineStr"/>
      <c r="U62" s="10" t="inlineStr"/>
    </row>
    <row r="63" ht="96" customHeight="1">
      <c r="A63" s="8" t="n">
        <v>62</v>
      </c>
      <c r="B63" s="26" t="inlineStr">
        <is>
          <t>P4</t>
        </is>
      </c>
      <c r="C63" s="10" t="inlineStr">
        <is>
          <t>Analytics &amp; Revenue</t>
        </is>
      </c>
      <c r="D63" s="11" t="inlineStr">
        <is>
          <t>Segment</t>
        </is>
      </c>
      <c r="E63" s="10" t="inlineStr">
        <is>
          <t>Analytics Agent: unified event pipeline</t>
        </is>
      </c>
      <c r="F63" s="24" t="inlineStr">
        <is>
          <t>Optional</t>
        </is>
      </c>
      <c r="G63" s="18" t="inlineStr">
        <is>
          <t>Easy</t>
        </is>
      </c>
      <c r="H63" s="10" t="inlineStr">
        <is>
          <t>1 day</t>
        </is>
      </c>
      <c r="I63" s="10" t="inlineStr">
        <is>
          <t>Segment workspace</t>
        </is>
      </c>
      <c r="J63" s="10" t="inlineStr">
        <is>
          <t>By monthly tracked users</t>
        </is>
      </c>
      <c r="K63" s="14" t="n">
        <v>120</v>
      </c>
      <c r="L63" s="10" t="inlineStr">
        <is>
          <t>Free to 1,000 MTUs</t>
        </is>
      </c>
      <c r="M63" s="15" t="inlineStr">
        <is>
          <t>https://app.segment.com</t>
        </is>
      </c>
      <c r="N63" s="15" t="inlineStr">
        <is>
          <t>https://segment.com/docs</t>
        </is>
      </c>
      <c r="O63" s="10" t="inlineStr">
        <is>
          <t>1) Create a workspace -&gt; add a Source (Node/HTTP API). 2) Copy the Write Key. 3) Paste into SEGMENT_WRITE_KEY.</t>
        </is>
      </c>
      <c r="P63" s="10" t="inlineStr">
        <is>
          <t>SEGMENT_WRITE_KEY</t>
        </is>
      </c>
      <c r="Q63" s="10" t="inlineStr">
        <is>
          <t>Only worth it if you already have multiple destinations to fan out to. PostHog is cheaper for one tool.</t>
        </is>
      </c>
      <c r="R63" s="10" t="inlineStr">
        <is>
          <t>Not started</t>
        </is>
      </c>
      <c r="S63" s="10" t="inlineStr"/>
      <c r="T63" s="16" t="inlineStr"/>
      <c r="U63" s="10" t="inlineStr"/>
    </row>
    <row r="64" ht="96" customHeight="1">
      <c r="A64" s="8" t="n">
        <v>63</v>
      </c>
      <c r="B64" s="26" t="inlineStr">
        <is>
          <t>P4</t>
        </is>
      </c>
      <c r="C64" s="10" t="inlineStr">
        <is>
          <t>Analytics &amp; Revenue</t>
        </is>
      </c>
      <c r="D64" s="11" t="inlineStr">
        <is>
          <t>Mixpanel</t>
        </is>
      </c>
      <c r="E64" s="10" t="inlineStr">
        <is>
          <t>Analytics Agent: product analytics</t>
        </is>
      </c>
      <c r="F64" s="19" t="inlineStr">
        <is>
          <t>Alternative</t>
        </is>
      </c>
      <c r="G64" s="13" t="inlineStr">
        <is>
          <t>Instant</t>
        </is>
      </c>
      <c r="H64" s="10" t="inlineStr">
        <is>
          <t>15 minutes</t>
        </is>
      </c>
      <c r="I64" s="10" t="inlineStr">
        <is>
          <t>None</t>
        </is>
      </c>
      <c r="J64" s="10" t="inlineStr">
        <is>
          <t>By monthly events</t>
        </is>
      </c>
      <c r="K64" s="14" t="n">
        <v>0</v>
      </c>
      <c r="L64" s="10" t="inlineStr">
        <is>
          <t>Generous free tier</t>
        </is>
      </c>
      <c r="M64" s="15" t="inlineStr">
        <is>
          <t>https://mixpanel.com</t>
        </is>
      </c>
      <c r="N64" s="15" t="inlineStr">
        <is>
          <t>https://developer.mixpanel.com</t>
        </is>
      </c>
      <c r="O64" s="10" t="inlineStr">
        <is>
          <t>1) Sign up -&gt; create a project. 2) Project Settings -&gt; copy the Project Token. 3) Paste into MIXPANEL_PROJECT_TOKEN.</t>
        </is>
      </c>
      <c r="P64" s="10" t="inlineStr">
        <is>
          <t>MIXPANEL_PROJECT_TOKEN</t>
        </is>
      </c>
      <c r="Q64" s="10" t="inlineStr">
        <is>
          <t>Pick one of PostHog / Mixpanel / Segment.</t>
        </is>
      </c>
      <c r="R64" s="10" t="inlineStr">
        <is>
          <t>Not started</t>
        </is>
      </c>
      <c r="S64" s="10" t="inlineStr"/>
      <c r="T64" s="16" t="inlineStr"/>
      <c r="U64" s="10" t="inlineStr"/>
    </row>
    <row r="65" ht="96" customHeight="1">
      <c r="A65" s="8" t="n">
        <v>64</v>
      </c>
      <c r="B65" s="26" t="inlineStr">
        <is>
          <t>P4</t>
        </is>
      </c>
      <c r="C65" s="10" t="inlineStr">
        <is>
          <t>Landing Pages &amp; CMS</t>
        </is>
      </c>
      <c r="D65" s="11" t="inlineStr">
        <is>
          <t>VWO</t>
        </is>
      </c>
      <c r="E65" s="10" t="inlineStr">
        <is>
          <t>CRO Agent: A/B testing engine on landing pages</t>
        </is>
      </c>
      <c r="F65" s="24" t="inlineStr">
        <is>
          <t>Optional</t>
        </is>
      </c>
      <c r="G65" s="20" t="inlineStr">
        <is>
          <t>Medium</t>
        </is>
      </c>
      <c r="H65" s="10" t="inlineStr">
        <is>
          <t>1-3 days</t>
        </is>
      </c>
      <c r="I65" s="10" t="inlineStr">
        <is>
          <t>Paid plan</t>
        </is>
      </c>
      <c r="J65" s="10" t="inlineStr">
        <is>
          <t>By tested visitors</t>
        </is>
      </c>
      <c r="K65" s="14" t="n">
        <v>200</v>
      </c>
      <c r="L65" s="10" t="inlineStr">
        <is>
          <t>Trial</t>
        </is>
      </c>
      <c r="M65" s="15" t="inlineStr">
        <is>
          <t>https://app.vwo.com</t>
        </is>
      </c>
      <c r="N65" s="15" t="inlineStr">
        <is>
          <t>https://developers.vwo.com</t>
        </is>
      </c>
      <c r="O65" s="10" t="inlineStr">
        <is>
          <t>1) Subscribe. 2) Settings -&gt; API -&gt; generate a token. 3) Fill VWO_ACCOUNT_ID and VWO_API_TOKEN.</t>
        </is>
      </c>
      <c r="P65" s="10" t="inlineStr">
        <is>
          <t>VWO_ACCOUNT_ID, VWO_API_TOKEN</t>
        </is>
      </c>
      <c r="Q65" s="10" t="inlineStr">
        <is>
          <t>The CRO Agent can run experiments natively on generated pages — only buy VWO for pages you don't control.</t>
        </is>
      </c>
      <c r="R65" s="10" t="inlineStr">
        <is>
          <t>Not started</t>
        </is>
      </c>
      <c r="S65" s="10" t="inlineStr"/>
      <c r="T65" s="16" t="inlineStr"/>
      <c r="U65" s="10" t="inlineStr"/>
    </row>
    <row r="66" ht="96" customHeight="1">
      <c r="A66" s="8" t="n">
        <v>65</v>
      </c>
      <c r="B66" s="26" t="inlineStr">
        <is>
          <t>P4</t>
        </is>
      </c>
      <c r="C66" s="10" t="inlineStr">
        <is>
          <t>AI Models</t>
        </is>
      </c>
      <c r="D66" s="11" t="inlineStr">
        <is>
          <t>OpenAI</t>
        </is>
      </c>
      <c r="E66" s="10" t="inlineStr">
        <is>
          <t>Optional secondary model / embeddings</t>
        </is>
      </c>
      <c r="F66" s="24" t="inlineStr">
        <is>
          <t>Optional</t>
        </is>
      </c>
      <c r="G66" s="13" t="inlineStr">
        <is>
          <t>Instant</t>
        </is>
      </c>
      <c r="H66" s="10" t="inlineStr">
        <is>
          <t>5 minutes</t>
        </is>
      </c>
      <c r="I66" s="10" t="inlineStr">
        <is>
          <t>Card</t>
        </is>
      </c>
      <c r="J66" s="10" t="inlineStr">
        <is>
          <t>Per-token</t>
        </is>
      </c>
      <c r="K66" s="14" t="n">
        <v>20</v>
      </c>
      <c r="L66" s="10" t="inlineStr">
        <is>
          <t>None (prepaid)</t>
        </is>
      </c>
      <c r="M66" s="15" t="inlineStr">
        <is>
          <t>https://platform.openai.com/api-keys</t>
        </is>
      </c>
      <c r="N66" s="15" t="inlineStr">
        <is>
          <t>https://platform.openai.com/docs</t>
        </is>
      </c>
      <c r="O66" s="10" t="inlineStr">
        <is>
          <t>1) Sign up -&gt; Billing -&gt; add credits. 2) API Keys -&gt; create. 3) Paste into OPENAI_API_KEY.</t>
        </is>
      </c>
      <c r="P66" s="10" t="inlineStr">
        <is>
          <t>OPENAI_API_KEY</t>
        </is>
      </c>
      <c r="Q66" s="10" t="inlineStr">
        <is>
          <t>Not required — every agent runs on Claude. Only add if you specifically want a second provider for embeddings.</t>
        </is>
      </c>
      <c r="R66" s="10" t="inlineStr">
        <is>
          <t>Not started</t>
        </is>
      </c>
      <c r="S66" s="10" t="inlineStr"/>
      <c r="T66" s="16" t="inlineStr"/>
      <c r="U66" s="10" t="inlineStr"/>
    </row>
    <row r="67" ht="96" customHeight="1">
      <c r="A67" s="8" t="n">
        <v>66</v>
      </c>
      <c r="B67" s="26" t="inlineStr">
        <is>
          <t>P4</t>
        </is>
      </c>
      <c r="C67" s="10" t="inlineStr">
        <is>
          <t>Creative Generation</t>
        </is>
      </c>
      <c r="D67" s="11" t="inlineStr">
        <is>
          <t>Stability AI</t>
        </is>
      </c>
      <c r="E67" s="10" t="inlineStr">
        <is>
          <t>Creative Director: image generation</t>
        </is>
      </c>
      <c r="F67" s="24" t="inlineStr">
        <is>
          <t>Optional</t>
        </is>
      </c>
      <c r="G67" s="13" t="inlineStr">
        <is>
          <t>Instant</t>
        </is>
      </c>
      <c r="H67" s="10" t="inlineStr">
        <is>
          <t>5 minutes</t>
        </is>
      </c>
      <c r="I67" s="10" t="inlineStr">
        <is>
          <t>None</t>
        </is>
      </c>
      <c r="J67" s="10" t="inlineStr">
        <is>
          <t>Credits</t>
        </is>
      </c>
      <c r="K67" s="14" t="n">
        <v>20</v>
      </c>
      <c r="L67" s="10" t="inlineStr">
        <is>
          <t>Trial credits</t>
        </is>
      </c>
      <c r="M67" s="15" t="inlineStr">
        <is>
          <t>https://platform.stability.ai</t>
        </is>
      </c>
      <c r="N67" s="15" t="inlineStr">
        <is>
          <t>https://platform.stability.ai/docs</t>
        </is>
      </c>
      <c r="O67" s="10" t="inlineStr">
        <is>
          <t>1) Sign up. 2) Account -&gt; API Keys -&gt; copy. 3) Paste into STABILITY_API_KEY.</t>
        </is>
      </c>
      <c r="P67" s="10" t="inlineStr">
        <is>
          <t>STABILITY_API_KEY</t>
        </is>
      </c>
      <c r="Q67" s="10" t="inlineStr">
        <is>
          <t>fal.ai gives you this plus more models behind one key.</t>
        </is>
      </c>
      <c r="R67" s="10" t="inlineStr">
        <is>
          <t>Not started</t>
        </is>
      </c>
      <c r="S67" s="10" t="inlineStr"/>
      <c r="T67" s="16" t="inlineStr"/>
      <c r="U67" s="10" t="inlineStr"/>
    </row>
    <row r="68" ht="96" customHeight="1">
      <c r="A68" s="8" t="n">
        <v>67</v>
      </c>
      <c r="B68" s="26" t="inlineStr">
        <is>
          <t>P4</t>
        </is>
      </c>
      <c r="C68" s="10" t="inlineStr">
        <is>
          <t>Storage</t>
        </is>
      </c>
      <c r="D68" s="11" t="inlineStr">
        <is>
          <t>AWS S3 / Cloudflare R2</t>
        </is>
      </c>
      <c r="E68" s="10" t="inlineStr">
        <is>
          <t>Storage for generated creatives, videos and exports</t>
        </is>
      </c>
      <c r="F68" s="24" t="inlineStr">
        <is>
          <t>Optional</t>
        </is>
      </c>
      <c r="G68" s="18" t="inlineStr">
        <is>
          <t>Easy</t>
        </is>
      </c>
      <c r="H68" s="10" t="inlineStr">
        <is>
          <t>30 minutes</t>
        </is>
      </c>
      <c r="I68" s="10" t="inlineStr">
        <is>
          <t>AWS or Cloudflare account</t>
        </is>
      </c>
      <c r="J68" s="10" t="inlineStr">
        <is>
          <t>Per GB stored + egress</t>
        </is>
      </c>
      <c r="K68" s="14" t="n">
        <v>5</v>
      </c>
      <c r="L68" s="10" t="inlineStr">
        <is>
          <t>R2 has free egress</t>
        </is>
      </c>
      <c r="M68" s="15" t="inlineStr">
        <is>
          <t>https://aws.amazon.com/s3/</t>
        </is>
      </c>
      <c r="N68" s="15" t="inlineStr">
        <is>
          <t>https://docs.aws.amazon.com/s3/</t>
        </is>
      </c>
      <c r="O68" s="10" t="inlineStr">
        <is>
          <t>1) Create a bucket (private). 2) Create an IAM user with least-privilege access to that bucket only. 3) Generate an access key pair. 4) Fill AWS_ACCESS_KEY_ID, AWS_SECRET_ACCESS_KEY, AWS_STORAGE_BUCKET_NAME, AWS_S3_REGION_NAME and set STORAGE_BACKEND=s3.</t>
        </is>
      </c>
      <c r="P68" s="10" t="inlineStr">
        <is>
          <t>AWS_ACCESS_KEY_ID, AWS_SECRET_ACCESS_KEY, AWS_STORAGE_BUCKET_NAME, AWS_S3_REGION_NAME, STORAGE_BACKEND</t>
        </is>
      </c>
      <c r="Q68" s="10" t="inlineStr">
        <is>
          <t>Local storage is the default and fine until you generate video at volume. R2 avoids egress fees.</t>
        </is>
      </c>
      <c r="R68" s="10" t="inlineStr">
        <is>
          <t>Not started</t>
        </is>
      </c>
      <c r="S68" s="10" t="inlineStr"/>
      <c r="T68" s="16" t="inlineStr"/>
      <c r="U68" s="10" t="inlineStr"/>
    </row>
  </sheetData>
  <autoFilter ref="A1:U68"/>
  <conditionalFormatting sqref="R2:R68">
    <cfRule type="cellIs" priority="1" operator="equal" dxfId="0">
      <formula>"Live"</formula>
    </cfRule>
    <cfRule type="cellIs" priority="2" operator="equal" dxfId="1">
      <formula>"Approved"</formula>
    </cfRule>
    <cfRule type="cellIs" priority="3" operator="equal" dxfId="2">
      <formula>"In review"</formula>
    </cfRule>
    <cfRule type="cellIs" priority="4" operator="equal" dxfId="3">
      <formula>"Applied"</formula>
    </cfRule>
    <cfRule type="cellIs" priority="5" operator="equal" dxfId="4">
      <formula>"Blocked"</formula>
    </cfRule>
    <cfRule type="cellIs" priority="6" operator="equal" dxfId="5">
      <formula>"Prereq pending"</formula>
    </cfRule>
    <cfRule type="cellIs" priority="7" operator="equal" dxfId="6">
      <formula>"Skipped"</formula>
    </cfRule>
  </conditionalFormatting>
  <dataValidations count="1">
    <dataValidation sqref="R2:R68" showDropDown="0" showInputMessage="0" showErrorMessage="0" allowBlank="1" error="Pick a status from the list" type="list">
      <formula1>"Not started,Prereq pending,Applied,In review,Approved,Live,Blocked,Skipped"</formula1>
    </dataValidation>
  </dataValidations>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RowHeight="15"/>
  <cols>
    <col width="18" customWidth="1" min="1" max="1"/>
    <col width="62" customWidth="1" min="2" max="2"/>
    <col width="52" customWidth="1" min="3" max="3"/>
    <col width="8" customWidth="1" min="4" max="4"/>
    <col width="11" customWidth="1" min="5" max="5"/>
    <col width="13" customWidth="1" min="6" max="6"/>
    <col width="13" customWidth="1" min="7" max="7"/>
    <col width="12" customWidth="1" min="8" max="8"/>
  </cols>
  <sheetData>
    <row r="1" ht="28" customHeight="1">
      <c r="A1" s="1" t="inlineStr">
        <is>
          <t>30-day acquisition plan</t>
        </is>
      </c>
    </row>
    <row r="2" ht="30" customHeight="1">
      <c r="A2" s="2" t="inlineStr">
        <is>
          <t>Roll-up counts are live formulas over the Status column of 'API Master List' — update status there, these numbers follow.</t>
        </is>
      </c>
    </row>
    <row r="4" ht="30" customHeight="1">
      <c r="A4" s="7" t="inlineStr">
        <is>
          <t>Phase</t>
        </is>
      </c>
      <c r="B4" s="7" t="inlineStr">
        <is>
          <t>What it unlocks</t>
        </is>
      </c>
      <c r="C4" s="7" t="inlineStr">
        <is>
          <t>Items</t>
        </is>
      </c>
      <c r="D4" s="7" t="inlineStr">
        <is>
          <t>Live</t>
        </is>
      </c>
      <c r="E4" s="7" t="inlineStr">
        <is>
          <t>In flight</t>
        </is>
      </c>
      <c r="F4" s="7" t="inlineStr">
        <is>
          <t>Not started</t>
        </is>
      </c>
      <c r="G4" s="7" t="inlineStr">
        <is>
          <t>% complete</t>
        </is>
      </c>
      <c r="H4" s="7" t="inlineStr">
        <is>
          <t>Est. $/mo</t>
        </is>
      </c>
    </row>
    <row r="5" ht="26" customHeight="1">
      <c r="A5" s="28" t="inlineStr">
        <is>
          <t>P0</t>
        </is>
      </c>
      <c r="B5" s="29" t="inlineStr">
        <is>
          <t>Agents reason for real instead of simulating</t>
        </is>
      </c>
      <c r="C5" s="30">
        <f>COUNTIF('API Master List'!$B$2:$B$68,"P0")</f>
        <v/>
      </c>
      <c r="D5" s="30">
        <f>COUNTIFS('API Master List'!$B$2:$B$68,"P0",'API Master List'!$R$2:$R$68,"Live")</f>
        <v/>
      </c>
      <c r="E5" s="30">
        <f>COUNTIFS('API Master List'!$B$2:$B$68,"P0",'API Master List'!$R$2:$R$68,"Applied")+COUNTIFS('API Master List'!$B$2:$B$68,"P0",'API Master List'!$R$2:$R$68,"In review")+COUNTIFS('API Master List'!$B$2:$B$68,"P0",'API Master List'!$R$2:$R$68,"Approved")</f>
        <v/>
      </c>
      <c r="F5" s="30">
        <f>COUNTIFS('API Master List'!$B$2:$B$68,"P0",'API Master List'!$R$2:$R$68,"Not started")</f>
        <v/>
      </c>
      <c r="G5" s="31">
        <f>IF(C5=0,0,D5/C5)</f>
        <v/>
      </c>
      <c r="H5" s="32">
        <f>SUMIFS('API Master List'!$K$2:$K$68,'API Master List'!$B$2:$B$68,"P0",'API Master List'!$F$2:$F$68,"Required")+SUMIFS('API Master List'!$K$2:$K$68,'API Master List'!$B$2:$B$68,"P0",'API Master List'!$F$2:$F$68,"Recommended")</f>
        <v/>
      </c>
    </row>
    <row r="6" ht="26" customHeight="1">
      <c r="A6" s="33" t="inlineStr">
        <is>
          <t>P1</t>
        </is>
      </c>
      <c r="B6" s="29" t="inlineStr">
        <is>
          <t>Complete revenue loop: outbound + Google Ads + CRM + revenue truth</t>
        </is>
      </c>
      <c r="C6" s="30">
        <f>COUNTIF('API Master List'!$B$2:$B$68,"P1")</f>
        <v/>
      </c>
      <c r="D6" s="30">
        <f>COUNTIFS('API Master List'!$B$2:$B$68,"P1",'API Master List'!$R$2:$R$68,"Live")</f>
        <v/>
      </c>
      <c r="E6" s="30">
        <f>COUNTIFS('API Master List'!$B$2:$B$68,"P1",'API Master List'!$R$2:$R$68,"Applied")+COUNTIFS('API Master List'!$B$2:$B$68,"P1",'API Master List'!$R$2:$R$68,"In review")+COUNTIFS('API Master List'!$B$2:$B$68,"P1",'API Master List'!$R$2:$R$68,"Approved")</f>
        <v/>
      </c>
      <c r="F6" s="30">
        <f>COUNTIFS('API Master List'!$B$2:$B$68,"P1",'API Master List'!$R$2:$R$68,"Not started")</f>
        <v/>
      </c>
      <c r="G6" s="31">
        <f>IF(C6=0,0,D6/C6)</f>
        <v/>
      </c>
      <c r="H6" s="32">
        <f>SUMIFS('API Master List'!$K$2:$K$68,'API Master List'!$B$2:$B$68,"P1",'API Master List'!$F$2:$F$68,"Required")+SUMIFS('API Master List'!$K$2:$K$68,'API Master List'!$B$2:$B$68,"P1",'API Master List'!$F$2:$F$68,"Recommended")</f>
        <v/>
      </c>
    </row>
    <row r="7" ht="26" customHeight="1">
      <c r="A7" s="34" t="inlineStr">
        <is>
          <t>P2</t>
        </is>
      </c>
      <c r="B7" s="29" t="inlineStr">
        <is>
          <t>Second paid channel, real research data, lifecycle email</t>
        </is>
      </c>
      <c r="C7" s="30">
        <f>COUNTIF('API Master List'!$B$2:$B$68,"P2")</f>
        <v/>
      </c>
      <c r="D7" s="30">
        <f>COUNTIFS('API Master List'!$B$2:$B$68,"P2",'API Master List'!$R$2:$R$68,"Live")</f>
        <v/>
      </c>
      <c r="E7" s="30">
        <f>COUNTIFS('API Master List'!$B$2:$B$68,"P2",'API Master List'!$R$2:$R$68,"Applied")+COUNTIFS('API Master List'!$B$2:$B$68,"P2",'API Master List'!$R$2:$R$68,"In review")+COUNTIFS('API Master List'!$B$2:$B$68,"P2",'API Master List'!$R$2:$R$68,"Approved")</f>
        <v/>
      </c>
      <c r="F7" s="30">
        <f>COUNTIFS('API Master List'!$B$2:$B$68,"P2",'API Master List'!$R$2:$R$68,"Not started")</f>
        <v/>
      </c>
      <c r="G7" s="31">
        <f>IF(C7=0,0,D7/C7)</f>
        <v/>
      </c>
      <c r="H7" s="32">
        <f>SUMIFS('API Master List'!$K$2:$K$68,'API Master List'!$B$2:$B$68,"P2",'API Master List'!$F$2:$F$68,"Required")+SUMIFS('API Master List'!$K$2:$K$68,'API Master List'!$B$2:$B$68,"P2",'API Master List'!$F$2:$F$68,"Recommended")</f>
        <v/>
      </c>
    </row>
    <row r="8" ht="26" customHeight="1">
      <c r="A8" s="35" t="inlineStr">
        <is>
          <t>P3</t>
        </is>
      </c>
      <c r="B8" s="29" t="inlineStr">
        <is>
          <t>Scale: LinkedIn, video creative, more social, WhatsApp</t>
        </is>
      </c>
      <c r="C8" s="30">
        <f>COUNTIF('API Master List'!$B$2:$B$68,"P3")</f>
        <v/>
      </c>
      <c r="D8" s="30">
        <f>COUNTIFS('API Master List'!$B$2:$B$68,"P3",'API Master List'!$R$2:$R$68,"Live")</f>
        <v/>
      </c>
      <c r="E8" s="30">
        <f>COUNTIFS('API Master List'!$B$2:$B$68,"P3",'API Master List'!$R$2:$R$68,"Applied")+COUNTIFS('API Master List'!$B$2:$B$68,"P3",'API Master List'!$R$2:$R$68,"In review")+COUNTIFS('API Master List'!$B$2:$B$68,"P3",'API Master List'!$R$2:$R$68,"Approved")</f>
        <v/>
      </c>
      <c r="F8" s="30">
        <f>COUNTIFS('API Master List'!$B$2:$B$68,"P3",'API Master List'!$R$2:$R$68,"Not started")</f>
        <v/>
      </c>
      <c r="G8" s="31">
        <f>IF(C8=0,0,D8/C8)</f>
        <v/>
      </c>
      <c r="H8" s="32">
        <f>SUMIFS('API Master List'!$K$2:$K$68,'API Master List'!$B$2:$B$68,"P3",'API Master List'!$F$2:$F$68,"Required")+SUMIFS('API Master List'!$K$2:$K$68,'API Master List'!$B$2:$B$68,"P3",'API Master List'!$F$2:$F$68,"Recommended")</f>
        <v/>
      </c>
    </row>
    <row r="9" ht="26" customHeight="1">
      <c r="A9" s="36" t="inlineStr">
        <is>
          <t>P4</t>
        </is>
      </c>
      <c r="B9" s="29" t="inlineStr">
        <is>
          <t>Enterprise contracts and pick-one alternatives</t>
        </is>
      </c>
      <c r="C9" s="30">
        <f>COUNTIF('API Master List'!$B$2:$B$68,"P4")</f>
        <v/>
      </c>
      <c r="D9" s="30">
        <f>COUNTIFS('API Master List'!$B$2:$B$68,"P4",'API Master List'!$R$2:$R$68,"Live")</f>
        <v/>
      </c>
      <c r="E9" s="30">
        <f>COUNTIFS('API Master List'!$B$2:$B$68,"P4",'API Master List'!$R$2:$R$68,"Applied")+COUNTIFS('API Master List'!$B$2:$B$68,"P4",'API Master List'!$R$2:$R$68,"In review")+COUNTIFS('API Master List'!$B$2:$B$68,"P4",'API Master List'!$R$2:$R$68,"Approved")</f>
        <v/>
      </c>
      <c r="F9" s="30">
        <f>COUNTIFS('API Master List'!$B$2:$B$68,"P4",'API Master List'!$R$2:$R$68,"Not started")</f>
        <v/>
      </c>
      <c r="G9" s="31">
        <f>IF(C9=0,0,D9/C9)</f>
        <v/>
      </c>
      <c r="H9" s="32">
        <f>SUMIFS('API Master List'!$K$2:$K$68,'API Master List'!$B$2:$B$68,"P4",'API Master List'!$F$2:$F$68,"Required")+SUMIFS('API Master List'!$K$2:$K$68,'API Master List'!$B$2:$B$68,"P4",'API Master List'!$F$2:$F$68,"Recommended")</f>
        <v/>
      </c>
    </row>
    <row r="10">
      <c r="B10" s="37" t="inlineStr">
        <is>
          <t>TOTAL (Required + Recommended only)</t>
        </is>
      </c>
      <c r="C10" s="38">
        <f>SUM(C5:C9)</f>
        <v/>
      </c>
      <c r="D10" s="38">
        <f>SUM(D5:D9)</f>
        <v/>
      </c>
      <c r="E10" s="38">
        <f>SUM(E5:E9)</f>
        <v/>
      </c>
      <c r="F10" s="38">
        <f>SUM(F5:F9)</f>
        <v/>
      </c>
      <c r="G10" s="39">
        <f>IF(C10=0,0,D10/C10)</f>
        <v/>
      </c>
      <c r="H10" s="40">
        <f>SUM(H5:H9)</f>
        <v/>
      </c>
    </row>
    <row r="13">
      <c r="A13" s="41" t="inlineStr">
        <is>
          <t>WEEK BY WEEK</t>
        </is>
      </c>
    </row>
    <row r="14" ht="24" customHeight="1">
      <c r="A14" s="7" t="inlineStr">
        <is>
          <t>When</t>
        </is>
      </c>
      <c r="B14" s="7" t="inlineStr">
        <is>
          <t>Do this</t>
        </is>
      </c>
      <c r="C14" s="7" t="inlineStr">
        <is>
          <t>Why now</t>
        </is>
      </c>
    </row>
    <row r="15" ht="56" customHeight="1">
      <c r="A15" s="11" t="inlineStr">
        <is>
          <t>Day 1 (morning)</t>
        </is>
      </c>
      <c r="B15" s="10" t="inlineStr">
        <is>
          <t>Buy 2–3 secondary sending domains, create 2–3 mailboxes each, set SPF/DKIM/DMARC, sign up for Instantly, connect all mailboxes, switch warmup ON.</t>
        </is>
      </c>
      <c r="C15" s="10" t="inlineStr">
        <is>
          <t>Warmup takes 2–3 weeks of calendar time. Everything else can be done while it runs; this cannot be rushed.</t>
        </is>
      </c>
    </row>
    <row r="16" ht="56" customHeight="1">
      <c r="A16" s="11" t="inlineStr">
        <is>
          <t>Day 1 (afternoon)</t>
        </is>
      </c>
      <c r="B16" s="10" t="inlineStr">
        <is>
          <t>Create the Google Ads Manager (MCC) account and apply for the developer token. Create the Meta Business Account and start Business Verification.</t>
        </is>
      </c>
      <c r="C16" s="10" t="inlineStr">
        <is>
          <t>Both are review queues measured in days-to-weeks. Get in the queue before you need them.</t>
        </is>
      </c>
    </row>
    <row r="17" ht="56" customHeight="1">
      <c r="A17" s="11" t="inlineStr">
        <is>
          <t>Day 1 (evening)</t>
        </is>
      </c>
      <c r="B17" s="10" t="inlineStr">
        <is>
          <t>Anthropic key + $50 of credits. Generate CREDENTIALS_ENCRYPTION_KEY. Set spend caps in Settings → Control &amp; guardrails.</t>
        </is>
      </c>
      <c r="C17" s="10" t="inlineStr">
        <is>
          <t>Five minutes and all 38 agents stop simulating and start reasoning on your real business.</t>
        </is>
      </c>
    </row>
    <row r="18" ht="56" customHeight="1">
      <c r="A18" s="11" t="inlineStr">
        <is>
          <t>Day 2–3</t>
        </is>
      </c>
      <c r="B18" s="10" t="inlineStr">
        <is>
          <t>Apollo (paid tier for API) + one email verifier + HubSpot private app + Stripe test keys.</t>
        </is>
      </c>
      <c r="C18" s="10" t="inlineStr">
        <is>
          <t>This is the data spine: find → enrich → verify → CRM → revenue. Cheap and instant.</t>
        </is>
      </c>
    </row>
    <row r="19" ht="56" customHeight="1">
      <c r="A19" s="11" t="inlineStr">
        <is>
          <t>Day 3–5</t>
        </is>
      </c>
      <c r="B19" s="10" t="inlineStr">
        <is>
          <t>Firecrawl + Tavily. Run the Business Intelligence and Competitor Intelligence agents.</t>
        </is>
      </c>
      <c r="C19" s="10" t="inlineStr">
        <is>
          <t>≈$50 turns the knowledge graph from demo data into YOUR business, product, pricing and competitors. Highest leverage purchase in the list.</t>
        </is>
      </c>
    </row>
    <row r="20" ht="56" customHeight="1">
      <c r="A20" s="11" t="inlineStr">
        <is>
          <t>Week 1 end</t>
        </is>
      </c>
      <c r="B20" s="10" t="inlineStr">
        <is>
          <t>GA4 + Search Console service account. Slack bot for approvals.</t>
        </is>
      </c>
      <c r="C20" s="10" t="inlineStr">
        <is>
          <t>Closes the measurement loop and gets approval requests out of the dashboard and into your day.</t>
        </is>
      </c>
    </row>
    <row r="21" ht="56" customHeight="1">
      <c r="A21" s="11" t="inlineStr">
        <is>
          <t>Week 2</t>
        </is>
      </c>
      <c r="B21" s="10" t="inlineStr">
        <is>
          <t>Google Ads token should land → wire it up and launch one high-intent Search campaign. Add Resend for lifecycle email. Add Cal.com for meeting booking.</t>
        </is>
      </c>
      <c r="C21" s="10" t="inlineStr">
        <is>
          <t>First real paid channel plus a booking path for the AI SDR.</t>
        </is>
      </c>
    </row>
    <row r="22" ht="56" customHeight="1">
      <c r="A22" s="11" t="inlineStr">
        <is>
          <t>Week 3</t>
        </is>
      </c>
      <c r="B22" s="10" t="inlineStr">
        <is>
          <t>Warmup finishes → launch the first real outbound sequence, throttled to 30–40/mailbox/day. Meta verification should land → connect Meta Ads.</t>
        </is>
      </c>
      <c r="C22" s="10" t="inlineStr">
        <is>
          <t>Now both halves of the wedge (outbound + paid) are live and attributable.</t>
        </is>
      </c>
    </row>
    <row r="23" ht="56" customHeight="1">
      <c r="A23" s="11" t="inlineStr">
        <is>
          <t>Week 4</t>
        </is>
      </c>
      <c r="B23" s="10" t="inlineStr">
        <is>
          <t>Review the decision feed and attribution. Cut whatever is not working. Apply for LinkedIn Marketing API if B2B enterprise is your motion.</t>
        </is>
      </c>
      <c r="C23" s="10" t="inlineStr">
        <is>
          <t>First real reallocation decision from the Autonomous Media Buyer, made on your own data.</t>
        </is>
      </c>
    </row>
    <row r="24" ht="56" customHeight="1">
      <c r="A24" s="11" t="inlineStr">
        <is>
          <t>Month 2–3</t>
        </is>
      </c>
      <c r="B24" s="10" t="inlineStr">
        <is>
          <t>Add creative generation (fal.ai / ElevenLabs), YouTube or TikTok if relevant, PostHog for CRO, WhatsApp if your geo uses it.</t>
        </is>
      </c>
      <c r="C24" s="10" t="inlineStr">
        <is>
          <t>Only scale channels once the wedge has a proven CAC you are happy to spend more against.</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5" customWidth="1" min="1" max="1"/>
    <col width="40" customWidth="1" min="2" max="2"/>
    <col width="46" customWidth="1" min="3" max="3"/>
    <col width="16" customWidth="1" min="4" max="4"/>
    <col width="20" customWidth="1" min="5" max="5"/>
    <col width="70" customWidth="1" min="6" max="6"/>
    <col width="14" customWidth="1" min="7" max="7"/>
  </cols>
  <sheetData>
    <row r="1" ht="28" customHeight="1">
      <c r="A1" s="1" t="inlineStr">
        <is>
          <t>Prerequisites — do these before the APIs</t>
        </is>
      </c>
    </row>
    <row r="2" ht="30" customHeight="1">
      <c r="A2" s="2" t="inlineStr">
        <is>
          <t>These are not APIs. They are the accounts, documents and decisions that gate the API applications. Skipping them is the single most common reason an acquisition plan stalls in week 2.</t>
        </is>
      </c>
    </row>
    <row r="4" ht="30" customHeight="1">
      <c r="A4" s="7" t="inlineStr">
        <is>
          <t>#</t>
        </is>
      </c>
      <c r="B4" s="7" t="inlineStr">
        <is>
          <t>Prerequisite</t>
        </is>
      </c>
      <c r="C4" s="7" t="inlineStr">
        <is>
          <t>Why it blocks you</t>
        </is>
      </c>
      <c r="D4" s="7" t="inlineStr">
        <is>
          <t>Owner</t>
        </is>
      </c>
      <c r="E4" s="7" t="inlineStr">
        <is>
          <t>Lead time</t>
        </is>
      </c>
      <c r="F4" s="7" t="inlineStr">
        <is>
          <t>How to do it</t>
        </is>
      </c>
      <c r="G4" s="7" t="inlineStr">
        <is>
          <t>Status</t>
        </is>
      </c>
    </row>
    <row r="5" ht="62" customHeight="1">
      <c r="A5" s="8" t="n">
        <v>1</v>
      </c>
      <c r="B5" s="11" t="inlineStr">
        <is>
          <t>Legal business entity + registration document</t>
        </is>
      </c>
      <c r="C5" s="10" t="inlineStr">
        <is>
          <t>Meta Business Verification, Google Ads billing, ZoomInfo/Semrush contracts, Stripe live mode all require it</t>
        </is>
      </c>
      <c r="D5" s="10" t="inlineStr">
        <is>
          <t>Founder / Finance</t>
        </is>
      </c>
      <c r="E5" s="10" t="inlineStr">
        <is>
          <t>Already done, or weeks</t>
        </is>
      </c>
      <c r="F5" s="10" t="inlineStr">
        <is>
          <t>Have the incorporation certificate, tax ID and a document showing the business address ready as PDFs before you start any verification.</t>
        </is>
      </c>
      <c r="G5" s="10" t="inlineStr">
        <is>
          <t>Not started</t>
        </is>
      </c>
    </row>
    <row r="6" ht="62" customHeight="1">
      <c r="A6" s="8" t="n">
        <v>2</v>
      </c>
      <c r="B6" s="11" t="inlineStr">
        <is>
          <t>Company domain with DNS access</t>
        </is>
      </c>
      <c r="C6" s="10" t="inlineStr">
        <is>
          <t>Domain authentication for every email provider, GSC verification, landing-page subdomains</t>
        </is>
      </c>
      <c r="D6" s="10" t="inlineStr">
        <is>
          <t>Founder / IT</t>
        </is>
      </c>
      <c r="E6" s="10" t="inlineStr">
        <is>
          <t>Same day</t>
        </is>
      </c>
      <c r="F6" s="10" t="inlineStr">
        <is>
          <t>Make sure you (not an agency) can add TXT/CNAME records. Check now, not on the day you need it.</t>
        </is>
      </c>
      <c r="G6" s="10" t="inlineStr">
        <is>
          <t>Not started</t>
        </is>
      </c>
    </row>
    <row r="7" ht="62" customHeight="1">
      <c r="A7" s="8" t="n">
        <v>3</v>
      </c>
      <c r="B7" s="11" t="inlineStr">
        <is>
          <t>2-3 SECONDARY sending domains + mailboxes</t>
        </is>
      </c>
      <c r="C7" s="10" t="inlineStr">
        <is>
          <t>Cold outbound must never run on your primary domain — a spam trap can kill your real email</t>
        </is>
      </c>
      <c r="D7" s="10" t="inlineStr">
        <is>
          <t>Growth</t>
        </is>
      </c>
      <c r="E7" s="10" t="inlineStr">
        <is>
          <t>1 day to buy, 2-3 WEEKS to warm</t>
        </is>
      </c>
      <c r="F7" s="10" t="inlineStr">
        <is>
          <t>Buy lookalike domains (get-acme.com, tryacme.com, acme-hq.com). Create 2-3 mailboxes each in Google Workspace or M365. Set SPF, DKIM and DMARC on all of them. Connect to Instantly and turn warmup on. START THIS FIRST — it is the longest-lead item in the whole project.</t>
        </is>
      </c>
      <c r="G7" s="10" t="inlineStr">
        <is>
          <t>Not started</t>
        </is>
      </c>
    </row>
    <row r="8" ht="62" customHeight="1">
      <c r="A8" s="8" t="n">
        <v>4</v>
      </c>
      <c r="B8" s="11" t="inlineStr">
        <is>
          <t>Google Ads Manager (MCC) account</t>
        </is>
      </c>
      <c r="C8" s="10" t="inlineStr">
        <is>
          <t>Required before you can even apply for a developer token</t>
        </is>
      </c>
      <c r="D8" s="10" t="inlineStr">
        <is>
          <t>Growth</t>
        </is>
      </c>
      <c r="E8" s="10" t="inlineStr">
        <is>
          <t>1 hour</t>
        </is>
      </c>
      <c r="F8" s="10" t="inlineStr">
        <is>
          <t>Create at ads.google.com/home/tools/manager-accounts, then link your ad account to it.</t>
        </is>
      </c>
      <c r="G8" s="10" t="inlineStr">
        <is>
          <t>Not started</t>
        </is>
      </c>
    </row>
    <row r="9" ht="62" customHeight="1">
      <c r="A9" s="8" t="n">
        <v>5</v>
      </c>
      <c r="B9" s="11" t="inlineStr">
        <is>
          <t>Meta Business Account + Page + Ad Account + Instagram</t>
        </is>
      </c>
      <c r="C9" s="10" t="inlineStr">
        <is>
          <t>Everything Meta (Ads, Ad Library, WhatsApp) hangs off this</t>
        </is>
      </c>
      <c r="D9" s="10" t="inlineStr">
        <is>
          <t>Growth</t>
        </is>
      </c>
      <c r="E9" s="10" t="inlineStr">
        <is>
          <t>1 day + verification wait</t>
        </is>
      </c>
      <c r="F9" s="10" t="inlineStr">
        <is>
          <t>Set up at business.facebook.com, then immediately start Business Verification in Security Centre.</t>
        </is>
      </c>
      <c r="G9" s="10" t="inlineStr">
        <is>
          <t>Not started</t>
        </is>
      </c>
    </row>
    <row r="10" ht="62" customHeight="1">
      <c r="A10" s="8" t="n">
        <v>6</v>
      </c>
      <c r="B10" s="11" t="inlineStr">
        <is>
          <t>LinkedIn Company Page with admin rights</t>
        </is>
      </c>
      <c r="C10" s="10" t="inlineStr">
        <is>
          <t>Required to create and verify a LinkedIn developer app</t>
        </is>
      </c>
      <c r="D10" s="10" t="inlineStr">
        <is>
          <t>Founder</t>
        </is>
      </c>
      <c r="E10" s="10" t="inlineStr">
        <is>
          <t>1 day</t>
        </is>
      </c>
      <c r="F10" s="10" t="inlineStr">
        <is>
          <t>You must be a Page admin. Page verification inside the developer app needs an admin to click a link.</t>
        </is>
      </c>
      <c r="G10" s="10" t="inlineStr">
        <is>
          <t>Not started</t>
        </is>
      </c>
    </row>
    <row r="11" ht="62" customHeight="1">
      <c r="A11" s="8" t="n">
        <v>7</v>
      </c>
      <c r="B11" s="11" t="inlineStr">
        <is>
          <t>Google Cloud project + service account</t>
        </is>
      </c>
      <c r="C11" s="10" t="inlineStr">
        <is>
          <t>Shared by GA4, Search Console, Gmail, YouTube and Google Ads OAuth</t>
        </is>
      </c>
      <c r="D11" s="10" t="inlineStr">
        <is>
          <t>Engineering</t>
        </is>
      </c>
      <c r="E11" s="10" t="inlineStr">
        <is>
          <t>1 hour</t>
        </is>
      </c>
      <c r="F11" s="10" t="inlineStr">
        <is>
          <t>Create ONE project and reuse it. Download the service-account JSON, store it outside git, reference it via GOOGLE_SERVICE_ACCOUNT_JSON_PATH.</t>
        </is>
      </c>
      <c r="G11" s="10" t="inlineStr">
        <is>
          <t>Not started</t>
        </is>
      </c>
    </row>
    <row r="12" ht="62" customHeight="1">
      <c r="A12" s="8" t="n">
        <v>8</v>
      </c>
      <c r="B12" s="11" t="inlineStr">
        <is>
          <t>Privacy policy + terms + cookie consent on your site</t>
        </is>
      </c>
      <c r="C12" s="10" t="inlineStr">
        <is>
          <t>App reviews (Meta, Google, LinkedIn, TikTok) check for these; GDPR requires them</t>
        </is>
      </c>
      <c r="D12" s="10" t="inlineStr">
        <is>
          <t>Founder / Legal</t>
        </is>
      </c>
      <c r="E12" s="10" t="inlineStr">
        <is>
          <t>2-3 days</t>
        </is>
      </c>
      <c r="F12" s="10" t="inlineStr">
        <is>
          <t>Publish them at stable URLs before you submit any app review — reviewers do check.</t>
        </is>
      </c>
      <c r="G12" s="10" t="inlineStr">
        <is>
          <t>Not started</t>
        </is>
      </c>
    </row>
    <row r="13" ht="62" customHeight="1">
      <c r="A13" s="8" t="n">
        <v>9</v>
      </c>
      <c r="B13" s="11" t="inlineStr">
        <is>
          <t>Outbound compliance position for your target geos</t>
        </is>
      </c>
      <c r="C13" s="10" t="inlineStr">
        <is>
          <t>GDPR (EU), CAN-SPAM (US), CASL (Canada), PECR (UK) all constrain cold outbound differently</t>
        </is>
      </c>
      <c r="D13" s="10" t="inlineStr">
        <is>
          <t>Founder / Legal</t>
        </is>
      </c>
      <c r="E13" s="10" t="inlineStr">
        <is>
          <t>1 week</t>
        </is>
      </c>
      <c r="F13" s="10" t="inlineStr">
        <is>
          <t>Decide your legal basis per geography, add a working unsubscribe to every sequence, keep a suppression list, and honour opt-outs immediately. The Lead Verification + Compliance agents enforce this only if you configure it.</t>
        </is>
      </c>
      <c r="G13" s="10" t="inlineStr">
        <is>
          <t>Not started</t>
        </is>
      </c>
    </row>
    <row r="14" ht="62" customHeight="1">
      <c r="A14" s="8" t="n">
        <v>10</v>
      </c>
      <c r="B14" s="11" t="inlineStr">
        <is>
          <t>CREDENTIALS_ENCRYPTION_KEY generated</t>
        </is>
      </c>
      <c r="C14" s="10" t="inlineStr">
        <is>
          <t>Connector credentials saved in the UI are stored in plaintext without it</t>
        </is>
      </c>
      <c r="D14" s="10" t="inlineStr">
        <is>
          <t>Engineering</t>
        </is>
      </c>
      <c r="E14" s="10" t="inlineStr">
        <is>
          <t>1 minute</t>
        </is>
      </c>
      <c r="F14" s="10" t="inlineStr">
        <is>
          <t>Run: python -c "from cryptography.fernet import Fernet; print(Fernet.generate_key().decode())" and put the result in CREDENTIALS_ENCRYPTION_KEY. Do this BEFORE saving any key in the Integrations screen.</t>
        </is>
      </c>
      <c r="G14" s="10" t="inlineStr">
        <is>
          <t>Not started</t>
        </is>
      </c>
    </row>
    <row r="15" ht="62" customHeight="1">
      <c r="A15" s="8" t="n">
        <v>11</v>
      </c>
      <c r="B15" s="11" t="inlineStr">
        <is>
          <t>Spend guardrails agreed</t>
        </is>
      </c>
      <c r="C15" s="10" t="inlineStr">
        <is>
          <t>Full-autonomy mode can spend real money on real ad platforms</t>
        </is>
      </c>
      <c r="D15" s="10" t="inlineStr">
        <is>
          <t>Founder</t>
        </is>
      </c>
      <c r="E15" s="10" t="inlineStr">
        <is>
          <t>30 minutes</t>
        </is>
      </c>
      <c r="F15" s="10" t="inlineStr">
        <is>
          <t>Set DEFAULT_DAILY_SPEND_CAP and the per-agent modes in Settings -&gt; Control &amp; guardrails BEFORE connecting any ad platform. Keep AI_CAN_LAUNCH_PAID_WITHOUT_APPROVAL off until you trust the output.</t>
        </is>
      </c>
      <c r="G15" s="10" t="inlineStr">
        <is>
          <t>Not started</t>
        </is>
      </c>
    </row>
  </sheetData>
  <mergeCells count="2">
    <mergeCell ref="A2:F2"/>
    <mergeCell ref="A1:F1"/>
  </mergeCells>
  <conditionalFormatting sqref="G5:G15">
    <cfRule type="cellIs" priority="1" operator="equal" dxfId="0">
      <formula>"Live"</formula>
    </cfRule>
  </conditionalFormatting>
  <dataValidations count="1">
    <dataValidation sqref="G5:G15" showDropDown="0" showInputMessage="0" showErrorMessage="0" allowBlank="1" type="list">
      <formula1>"Not started,Prereq pending,Applied,In review,Approved,Live,Blocked,Skipped"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34" customWidth="1" min="1" max="1"/>
    <col width="56" customWidth="1" min="2" max="2"/>
    <col width="16" customWidth="1" min="3" max="3"/>
    <col width="54" customWidth="1" min="4" max="4"/>
  </cols>
  <sheetData>
    <row r="1" ht="28" customHeight="1">
      <c r="A1" s="1" t="inlineStr">
        <is>
          <t>Indicative monthly cost</t>
        </is>
      </c>
    </row>
    <row r="2" ht="30" customHeight="1">
      <c r="A2" s="2" t="inlineStr">
        <is>
          <t>List prices for small-team tiers, USD, early 2026 — ALWAYS verify on the vendor's pricing page before budgeting. Excludes the advertising budget itself, which is the biggest line item once you go live.</t>
        </is>
      </c>
    </row>
    <row r="4" ht="28" customHeight="1">
      <c r="A4" s="7" t="inlineStr">
        <is>
          <t>Scenario</t>
        </is>
      </c>
      <c r="B4" s="7" t="inlineStr">
        <is>
          <t>What's included</t>
        </is>
      </c>
      <c r="C4" s="7" t="inlineStr">
        <is>
          <t>Software $/mo</t>
        </is>
      </c>
      <c r="D4" s="7" t="inlineStr">
        <is>
          <t>Notes</t>
        </is>
      </c>
    </row>
    <row r="5" ht="40" customHeight="1">
      <c r="A5" s="42" t="inlineStr">
        <is>
          <t>Demo / simulation</t>
        </is>
      </c>
      <c r="B5" s="29" t="inlineStr">
        <is>
          <t>Nothing. Every provider blank.</t>
        </is>
      </c>
      <c r="C5" s="43" t="n">
        <v>0</v>
      </c>
      <c r="D5" s="44" t="inlineStr">
        <is>
          <t>The full product is usable and demoable — agents produce deterministic simulated output.</t>
        </is>
      </c>
    </row>
    <row r="6" ht="40" customHeight="1">
      <c r="A6" s="42" t="inlineStr">
        <is>
          <t>P0 — agents thinking</t>
        </is>
      </c>
      <c r="B6" s="29" t="inlineStr">
        <is>
          <t>Anthropic only</t>
        </is>
      </c>
      <c r="C6" s="43">
        <f>SUMIFS('API Master List'!$K$2:$K$68,'API Master List'!$B$2:$B$68,"P0")</f>
        <v/>
      </c>
      <c r="D6" s="44" t="inlineStr">
        <is>
          <t>≈$50 of credits goes a long way at this volume. Set a spend limit in the Anthropic console.</t>
        </is>
      </c>
    </row>
    <row r="7" ht="40" customHeight="1">
      <c r="A7" s="42" t="inlineStr">
        <is>
          <t>P0+P1 — the wedge live</t>
        </is>
      </c>
      <c r="B7" s="29" t="inlineStr">
        <is>
          <t>Anthropic, Apollo, verifier, Instantly, HubSpot, Stripe, GA4, Google Ads, Slack</t>
        </is>
      </c>
      <c r="C7" s="43">
        <f>SUMIFS('API Master List'!$K$2:$K$68,'API Master List'!$B$2:$B$68,"P0")+SUMIFS('API Master List'!$K$2:$K$68,'API Master List'!$B$2:$B$68,"P1",'API Master List'!$F$2:$F$68,"Required")+SUMIFS('API Master List'!$K$2:$K$68,'API Master List'!$B$2:$B$68,"P1",'API Master List'!$F$2:$F$68,"Recommended")</f>
        <v/>
      </c>
      <c r="D7" s="44" t="inlineStr">
        <is>
          <t>MINIMUM VIABLE REAL SYSTEM. Complete revenue loop on real data. Add your ad budget on top.</t>
        </is>
      </c>
    </row>
    <row r="8" ht="40" customHeight="1">
      <c r="A8" s="42" t="inlineStr">
        <is>
          <t>+ P2 — second channel</t>
        </is>
      </c>
      <c r="B8" s="29" t="inlineStr">
        <is>
          <t>Meta Ads, Firecrawl, Tavily, SerpApi, GSC, Resend, Gmail, Cal.com</t>
        </is>
      </c>
      <c r="C8" s="43">
        <f>C7+SUMIFS('API Master List'!$K$2:$K$68,'API Master List'!$B$2:$B$68,"P2",'API Master List'!$F$2:$F$68,"Required")+SUMIFS('API Master List'!$K$2:$K$68,'API Master List'!$B$2:$B$68,"P2",'API Master List'!$F$2:$F$68,"Recommended")</f>
        <v/>
      </c>
      <c r="D8" s="44" t="inlineStr">
        <is>
          <t>Two paid channels, real research, lifecycle email.</t>
        </is>
      </c>
    </row>
    <row r="9" ht="40" customHeight="1">
      <c r="A9" s="42" t="inlineStr">
        <is>
          <t>+ P3 — scaling</t>
        </is>
      </c>
      <c r="B9" s="29" t="inlineStr">
        <is>
          <t>LinkedIn, creative generation, YouTube, TikTok, WhatsApp, PostHog</t>
        </is>
      </c>
      <c r="C9" s="43">
        <f>C8+SUMIFS('API Master List'!$K$2:$K$68,'API Master List'!$B$2:$B$68,"P3",'API Master List'!$F$2:$F$68,"Required")+SUMIFS('API Master List'!$K$2:$K$68,'API Master List'!$B$2:$B$68,"P3",'API Master List'!$F$2:$F$68,"Recommended")+SUMIFS('API Master List'!$K$2:$K$68,'API Master List'!$B$2:$B$68,"P3",'API Master List'!$F$2:$F$68,"Optional")</f>
        <v/>
      </c>
      <c r="D9" s="44" t="inlineStr">
        <is>
          <t>LinkedIn/YouTube/TikTok/PostHog APIs are free — the increase here is creative generation (usage-based, so treat it as a floor). Only scale once the wedge shows a CAC you want to spend more against.</t>
        </is>
      </c>
    </row>
    <row r="10" ht="40" customHeight="1">
      <c r="A10" s="42" t="inlineStr">
        <is>
          <t>Everything incl. optional</t>
        </is>
      </c>
      <c r="B10" s="29" t="inlineStr">
        <is>
          <t>All Required + Recommended + Optional rows</t>
        </is>
      </c>
      <c r="C10" s="43">
        <f>SUMIFS('API Master List'!$K$2:$K$68,'API Master List'!$F$2:$F$68,"Required")+SUMIFS('API Master List'!$K$2:$K$68,'API Master List'!$F$2:$F$68,"Recommended")+SUMIFS('API Master List'!$K$2:$K$68,'API Master List'!$F$2:$F$68,"Optional")</f>
        <v/>
      </c>
      <c r="D10" s="44" t="inlineStr">
        <is>
          <t>You will almost certainly never need this — 'Alternative' rows are pick-one.</t>
        </is>
      </c>
    </row>
    <row r="13">
      <c r="A13" s="45" t="inlineStr">
        <is>
          <t>COST NOTES</t>
        </is>
      </c>
    </row>
    <row r="14" ht="28" customHeight="1">
      <c r="A14" s="46" t="inlineStr">
        <is>
          <t>•  Ad spend is NOT in these numbers. Budget it separately — it will dwarf the software cost.</t>
        </is>
      </c>
    </row>
    <row r="15" ht="28" customHeight="1">
      <c r="A15" s="46" t="inlineStr">
        <is>
          <t>•  Claude usage scales with how often agents run. Start agents manually or daily, not hourly. Use the worker model (claude-sonnet-5) for bulk personalisation — it's already wired in ANTHROPIC_WORKER_MODEL.</t>
        </is>
      </c>
    </row>
    <row r="16" ht="28" customHeight="1">
      <c r="A16" s="46" t="inlineStr">
        <is>
          <t>•  Apollo/ZoomInfo cost is driven by enrichment CREDITS, not seats. Verify before sending to avoid burning credits on bad data.</t>
        </is>
      </c>
    </row>
    <row r="17" ht="28" customHeight="1">
      <c r="A17" s="46" t="inlineStr">
        <is>
          <t>•  Semrush and Ahrefs gate their APIs behind top-tier plans (~$500/mo each). SerpApi + Search Console cover most of the same ground for under $100.</t>
        </is>
      </c>
    </row>
    <row r="18" ht="28" customHeight="1">
      <c r="A18" s="46" t="inlineStr">
        <is>
          <t>•  Video generation is the most volatile line item. Gate renders behind the Creative Testing Agent so you only render variants of proven winners.</t>
        </is>
      </c>
    </row>
    <row r="19" ht="28" customHeight="1">
      <c r="A19" s="46" t="inlineStr">
        <is>
          <t>•  Set a hard daily spend cap in Settings → Control &amp; guardrails BEFORE connecting any ad platform.</t>
        </is>
      </c>
    </row>
  </sheetData>
  <mergeCells count="8">
    <mergeCell ref="A2:F2"/>
    <mergeCell ref="A17:D17"/>
    <mergeCell ref="A18:D18"/>
    <mergeCell ref="A1:F1"/>
    <mergeCell ref="A15:D15"/>
    <mergeCell ref="A16:D16"/>
    <mergeCell ref="A19:D19"/>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7"/>
  <sheetViews>
    <sheetView showGridLines="0" workbookViewId="0">
      <pane ySplit="4" topLeftCell="A5" activePane="bottomLeft" state="frozen"/>
      <selection pane="bottomLeft" activeCell="A1" sqref="A1"/>
    </sheetView>
  </sheetViews>
  <sheetFormatPr baseColWidth="8" defaultRowHeight="15"/>
  <cols>
    <col width="34" customWidth="1" min="1" max="1"/>
    <col width="44" customWidth="1" min="2" max="2"/>
    <col width="34" customWidth="1" min="3" max="3"/>
    <col width="22" customWidth="1" min="4" max="4"/>
    <col width="20" customWidth="1" min="5" max="5"/>
  </cols>
  <sheetData>
    <row r="1" ht="28" customHeight="1">
      <c r="A1" s="1" t="inlineStr">
        <is>
          <t>.env key map</t>
        </is>
      </c>
    </row>
    <row r="2" ht="30" customHeight="1">
      <c r="A2" s="2" t="inlineStr">
        <is>
          <t>Every variable in .env.example, the section it lives in, and which provider fills it. Keys with no provider are platform settings you set yourself — no signup needed.</t>
        </is>
      </c>
    </row>
    <row r="4" ht="26" customHeight="1">
      <c r="A4" s="7" t="inlineStr">
        <is>
          <t>Section</t>
        </is>
      </c>
      <c r="B4" s="7" t="inlineStr">
        <is>
          <t>.env variable</t>
        </is>
      </c>
      <c r="C4" s="7" t="inlineStr">
        <is>
          <t>Filled by</t>
        </is>
      </c>
      <c r="D4" s="7" t="inlineStr">
        <is>
          <t>Type</t>
        </is>
      </c>
      <c r="E4" s="7" t="inlineStr">
        <is>
          <t>Required to run?</t>
        </is>
      </c>
    </row>
    <row r="5">
      <c r="A5" s="44" t="inlineStr">
        <is>
          <t>1. CORE PLATFORM</t>
        </is>
      </c>
      <c r="B5" s="47" t="inlineStr">
        <is>
          <t>DJANGO_SECRET_KEY</t>
        </is>
      </c>
      <c r="C5" s="48" t="inlineStr">
        <is>
          <t>—</t>
        </is>
      </c>
      <c r="D5" s="44" t="inlineStr">
        <is>
          <t>Platform setting</t>
        </is>
      </c>
      <c r="E5" s="49" t="inlineStr">
        <is>
          <t>Yes</t>
        </is>
      </c>
    </row>
    <row r="6">
      <c r="A6" s="44" t="inlineStr">
        <is>
          <t>1. CORE PLATFORM</t>
        </is>
      </c>
      <c r="B6" s="47" t="inlineStr">
        <is>
          <t>DJANGO_DEBUG</t>
        </is>
      </c>
      <c r="C6" s="48" t="inlineStr">
        <is>
          <t>—</t>
        </is>
      </c>
      <c r="D6" s="44" t="inlineStr">
        <is>
          <t>Platform setting</t>
        </is>
      </c>
      <c r="E6" s="44" t="inlineStr">
        <is>
          <t>Has a default</t>
        </is>
      </c>
    </row>
    <row r="7">
      <c r="A7" s="44" t="inlineStr">
        <is>
          <t>1. CORE PLATFORM</t>
        </is>
      </c>
      <c r="B7" s="47" t="inlineStr">
        <is>
          <t>DJANGO_ALLOWED_HOSTS</t>
        </is>
      </c>
      <c r="C7" s="48" t="inlineStr">
        <is>
          <t>—</t>
        </is>
      </c>
      <c r="D7" s="44" t="inlineStr">
        <is>
          <t>Platform setting</t>
        </is>
      </c>
      <c r="E7" s="44" t="inlineStr">
        <is>
          <t>Has a default</t>
        </is>
      </c>
    </row>
    <row r="8">
      <c r="A8" s="44" t="inlineStr">
        <is>
          <t>1. CORE PLATFORM</t>
        </is>
      </c>
      <c r="B8" s="47" t="inlineStr">
        <is>
          <t>CORS_ALLOWED_ORIGINS</t>
        </is>
      </c>
      <c r="C8" s="48" t="inlineStr">
        <is>
          <t>—</t>
        </is>
      </c>
      <c r="D8" s="44" t="inlineStr">
        <is>
          <t>Platform setting</t>
        </is>
      </c>
      <c r="E8" s="44" t="inlineStr">
        <is>
          <t>Has a default</t>
        </is>
      </c>
    </row>
    <row r="9">
      <c r="A9" s="44" t="inlineStr">
        <is>
          <t>1. CORE PLATFORM</t>
        </is>
      </c>
      <c r="B9" s="47" t="inlineStr">
        <is>
          <t>DATABASE_URL</t>
        </is>
      </c>
      <c r="C9" s="48" t="inlineStr">
        <is>
          <t>—</t>
        </is>
      </c>
      <c r="D9" s="44" t="inlineStr">
        <is>
          <t>Platform setting</t>
        </is>
      </c>
      <c r="E9" s="44" t="inlineStr">
        <is>
          <t>Has a default</t>
        </is>
      </c>
    </row>
    <row r="10">
      <c r="A10" s="44" t="inlineStr">
        <is>
          <t>1. CORE PLATFORM</t>
        </is>
      </c>
      <c r="B10" s="47" t="inlineStr">
        <is>
          <t>REDIS_URL</t>
        </is>
      </c>
      <c r="C10" s="48" t="inlineStr">
        <is>
          <t>—</t>
        </is>
      </c>
      <c r="D10" s="44" t="inlineStr">
        <is>
          <t>Platform setting</t>
        </is>
      </c>
      <c r="E10" s="44" t="inlineStr">
        <is>
          <t>Has a default</t>
        </is>
      </c>
    </row>
    <row r="11">
      <c r="A11" s="44" t="inlineStr">
        <is>
          <t>1. CORE PLATFORM</t>
        </is>
      </c>
      <c r="B11" s="47" t="inlineStr">
        <is>
          <t>PUBLIC_APP_URL</t>
        </is>
      </c>
      <c r="C11" s="48" t="inlineStr">
        <is>
          <t>—</t>
        </is>
      </c>
      <c r="D11" s="44" t="inlineStr">
        <is>
          <t>Platform setting</t>
        </is>
      </c>
      <c r="E11" s="44" t="inlineStr">
        <is>
          <t>Has a default</t>
        </is>
      </c>
    </row>
    <row r="12">
      <c r="A12" s="44" t="inlineStr">
        <is>
          <t>1. CORE PLATFORM</t>
        </is>
      </c>
      <c r="B12" s="47" t="inlineStr">
        <is>
          <t>PUBLIC_API_URL</t>
        </is>
      </c>
      <c r="C12" s="48" t="inlineStr">
        <is>
          <t>—</t>
        </is>
      </c>
      <c r="D12" s="44" t="inlineStr">
        <is>
          <t>Platform setting</t>
        </is>
      </c>
      <c r="E12" s="44" t="inlineStr">
        <is>
          <t>Has a default</t>
        </is>
      </c>
    </row>
    <row r="13">
      <c r="A13" s="44" t="inlineStr">
        <is>
          <t>1. CORE PLATFORM</t>
        </is>
      </c>
      <c r="B13" s="47" t="inlineStr">
        <is>
          <t>JWT_ACCESS_MINUTES</t>
        </is>
      </c>
      <c r="C13" s="48" t="inlineStr">
        <is>
          <t>—</t>
        </is>
      </c>
      <c r="D13" s="44" t="inlineStr">
        <is>
          <t>Platform setting</t>
        </is>
      </c>
      <c r="E13" s="44" t="inlineStr">
        <is>
          <t>Has a default</t>
        </is>
      </c>
    </row>
    <row r="14">
      <c r="A14" s="44" t="inlineStr">
        <is>
          <t>1. CORE PLATFORM</t>
        </is>
      </c>
      <c r="B14" s="47" t="inlineStr">
        <is>
          <t>JWT_REFRESH_DAYS</t>
        </is>
      </c>
      <c r="C14" s="48" t="inlineStr">
        <is>
          <t>—</t>
        </is>
      </c>
      <c r="D14" s="44" t="inlineStr">
        <is>
          <t>Platform setting</t>
        </is>
      </c>
      <c r="E14" s="44" t="inlineStr">
        <is>
          <t>Has a default</t>
        </is>
      </c>
    </row>
    <row r="15">
      <c r="A15" s="44" t="inlineStr">
        <is>
          <t>1. CORE PLATFORM</t>
        </is>
      </c>
      <c r="B15" s="47" t="inlineStr">
        <is>
          <t>CREDENTIALS_ENCRYPTION_KEY</t>
        </is>
      </c>
      <c r="C15" s="48" t="inlineStr">
        <is>
          <t>—</t>
        </is>
      </c>
      <c r="D15" s="44" t="inlineStr">
        <is>
          <t>Platform setting</t>
        </is>
      </c>
      <c r="E15" s="49" t="inlineStr">
        <is>
          <t>Yes</t>
        </is>
      </c>
    </row>
    <row r="16">
      <c r="A16" s="44" t="inlineStr">
        <is>
          <t>2. AI / LLM PROVIDERS  (the brain of every agent)</t>
        </is>
      </c>
      <c r="B16" s="47" t="inlineStr">
        <is>
          <t>ANTHROPIC_API_KEY</t>
        </is>
      </c>
      <c r="C16" s="50" t="inlineStr">
        <is>
          <t>Anthropic (Claude)</t>
        </is>
      </c>
      <c r="D16" s="44" t="inlineStr">
        <is>
          <t>Provider credential</t>
        </is>
      </c>
      <c r="E16" s="44" t="inlineStr">
        <is>
          <t>No — simulates if blank</t>
        </is>
      </c>
    </row>
    <row r="17">
      <c r="A17" s="44" t="inlineStr">
        <is>
          <t>2. AI / LLM PROVIDERS  (the brain of every agent)</t>
        </is>
      </c>
      <c r="B17" s="47" t="inlineStr">
        <is>
          <t>ANTHROPIC_MODEL</t>
        </is>
      </c>
      <c r="C17" s="50" t="inlineStr">
        <is>
          <t>Anthropic (Claude)</t>
        </is>
      </c>
      <c r="D17" s="44" t="inlineStr">
        <is>
          <t>Provider credential</t>
        </is>
      </c>
      <c r="E17" s="44" t="inlineStr">
        <is>
          <t>No — simulates if blank</t>
        </is>
      </c>
    </row>
    <row r="18">
      <c r="A18" s="44" t="inlineStr">
        <is>
          <t>2. AI / LLM PROVIDERS  (the brain of every agent)</t>
        </is>
      </c>
      <c r="B18" s="47" t="inlineStr">
        <is>
          <t>ANTHROPIC_WORKER_MODEL</t>
        </is>
      </c>
      <c r="C18" s="50" t="inlineStr">
        <is>
          <t>Anthropic (Claude)</t>
        </is>
      </c>
      <c r="D18" s="44" t="inlineStr">
        <is>
          <t>Provider credential</t>
        </is>
      </c>
      <c r="E18" s="44" t="inlineStr">
        <is>
          <t>No — simulates if blank</t>
        </is>
      </c>
    </row>
    <row r="19">
      <c r="A19" s="44" t="inlineStr">
        <is>
          <t>2. AI / LLM PROVIDERS  (the brain of every agent)</t>
        </is>
      </c>
      <c r="B19" s="47" t="inlineStr">
        <is>
          <t>ANTHROPIC_ENABLE_FALLBACKS</t>
        </is>
      </c>
      <c r="C19" s="48" t="inlineStr">
        <is>
          <t>—</t>
        </is>
      </c>
      <c r="D19" s="44" t="inlineStr">
        <is>
          <t>Platform setting</t>
        </is>
      </c>
      <c r="E19" s="44" t="inlineStr">
        <is>
          <t>Has a default</t>
        </is>
      </c>
    </row>
    <row r="20">
      <c r="A20" s="44" t="inlineStr">
        <is>
          <t>2. AI / LLM PROVIDERS  (the brain of every agent)</t>
        </is>
      </c>
      <c r="B20" s="47" t="inlineStr">
        <is>
          <t>OPENAI_API_KEY</t>
        </is>
      </c>
      <c r="C20" s="50" t="inlineStr">
        <is>
          <t>OpenAI</t>
        </is>
      </c>
      <c r="D20" s="44" t="inlineStr">
        <is>
          <t>Provider credential</t>
        </is>
      </c>
      <c r="E20" s="44" t="inlineStr">
        <is>
          <t>No — simulates if blank</t>
        </is>
      </c>
    </row>
    <row r="21">
      <c r="A21" s="44" t="inlineStr">
        <is>
          <t>2. AI / LLM PROVIDERS  (the brain of every agent)</t>
        </is>
      </c>
      <c r="B21" s="47" t="inlineStr">
        <is>
          <t>GOOGLE_GEMINI_API_KEY</t>
        </is>
      </c>
      <c r="C21" s="50" t="inlineStr">
        <is>
          <t>Google AI Studio (optional 2nd model)</t>
        </is>
      </c>
      <c r="D21" s="44" t="inlineStr">
        <is>
          <t>Provider credential</t>
        </is>
      </c>
      <c r="E21" s="44" t="inlineStr">
        <is>
          <t>No — simulates if blank</t>
        </is>
      </c>
    </row>
    <row r="22">
      <c r="A22" s="44" t="inlineStr">
        <is>
          <t>2. AI / LLM PROVIDERS  (the brain of every agent)</t>
        </is>
      </c>
      <c r="B22" s="47" t="inlineStr">
        <is>
          <t>EMBEDDINGS_PROVIDER</t>
        </is>
      </c>
      <c r="C22" s="50" t="inlineStr">
        <is>
          <t>Voyage AI</t>
        </is>
      </c>
      <c r="D22" s="44" t="inlineStr">
        <is>
          <t>Provider credential</t>
        </is>
      </c>
      <c r="E22" s="44" t="inlineStr">
        <is>
          <t>No — simulates if blank</t>
        </is>
      </c>
    </row>
    <row r="23">
      <c r="A23" s="44" t="inlineStr">
        <is>
          <t>2. AI / LLM PROVIDERS  (the brain of every agent)</t>
        </is>
      </c>
      <c r="B23" s="47" t="inlineStr">
        <is>
          <t>VOYAGE_API_KEY</t>
        </is>
      </c>
      <c r="C23" s="50" t="inlineStr">
        <is>
          <t>Voyage AI</t>
        </is>
      </c>
      <c r="D23" s="44" t="inlineStr">
        <is>
          <t>Provider credential</t>
        </is>
      </c>
      <c r="E23" s="44" t="inlineStr">
        <is>
          <t>No — simulates if blank</t>
        </is>
      </c>
    </row>
    <row r="24">
      <c r="A24" s="44" t="inlineStr">
        <is>
          <t>2. AI / LLM PROVIDERS  (the brain of every agent)</t>
        </is>
      </c>
      <c r="B24" s="47" t="inlineStr">
        <is>
          <t>PINECONE_API_KEY</t>
        </is>
      </c>
      <c r="C24" s="50" t="inlineStr">
        <is>
          <t>Pinecone</t>
        </is>
      </c>
      <c r="D24" s="44" t="inlineStr">
        <is>
          <t>Provider credential</t>
        </is>
      </c>
      <c r="E24" s="44" t="inlineStr">
        <is>
          <t>No — simulates if blank</t>
        </is>
      </c>
    </row>
    <row r="25">
      <c r="A25" s="44" t="inlineStr">
        <is>
          <t>2. AI / LLM PROVIDERS  (the brain of every agent)</t>
        </is>
      </c>
      <c r="B25" s="47" t="inlineStr">
        <is>
          <t>PINECONE_INDEX</t>
        </is>
      </c>
      <c r="C25" s="50" t="inlineStr">
        <is>
          <t>Pinecone</t>
        </is>
      </c>
      <c r="D25" s="44" t="inlineStr">
        <is>
          <t>Provider credential</t>
        </is>
      </c>
      <c r="E25" s="44" t="inlineStr">
        <is>
          <t>No — simulates if blank</t>
        </is>
      </c>
    </row>
    <row r="26">
      <c r="A26" s="44" t="inlineStr">
        <is>
          <t>2. AI / LLM PROVIDERS  (the brain of every agent)</t>
        </is>
      </c>
      <c r="B26" s="47" t="inlineStr">
        <is>
          <t>HIGGSFIELD_API_KEY</t>
        </is>
      </c>
      <c r="C26" s="50" t="inlineStr">
        <is>
          <t>Higgsfield</t>
        </is>
      </c>
      <c r="D26" s="44" t="inlineStr">
        <is>
          <t>Provider credential</t>
        </is>
      </c>
      <c r="E26" s="44" t="inlineStr">
        <is>
          <t>No — simulates if blank</t>
        </is>
      </c>
    </row>
    <row r="27">
      <c r="A27" s="44" t="inlineStr">
        <is>
          <t>2. AI / LLM PROVIDERS  (the brain of every agent)</t>
        </is>
      </c>
      <c r="B27" s="47" t="inlineStr">
        <is>
          <t>RUNWAY_API_KEY</t>
        </is>
      </c>
      <c r="C27" s="50" t="inlineStr">
        <is>
          <t>Runway</t>
        </is>
      </c>
      <c r="D27" s="44" t="inlineStr">
        <is>
          <t>Provider credential</t>
        </is>
      </c>
      <c r="E27" s="44" t="inlineStr">
        <is>
          <t>No — simulates if blank</t>
        </is>
      </c>
    </row>
    <row r="28">
      <c r="A28" s="44" t="inlineStr">
        <is>
          <t>2. AI / LLM PROVIDERS  (the brain of every agent)</t>
        </is>
      </c>
      <c r="B28" s="47" t="inlineStr">
        <is>
          <t>ELEVENLABS_API_KEY</t>
        </is>
      </c>
      <c r="C28" s="50" t="inlineStr">
        <is>
          <t>ElevenLabs</t>
        </is>
      </c>
      <c r="D28" s="44" t="inlineStr">
        <is>
          <t>Provider credential</t>
        </is>
      </c>
      <c r="E28" s="44" t="inlineStr">
        <is>
          <t>No — simulates if blank</t>
        </is>
      </c>
    </row>
    <row r="29">
      <c r="A29" s="44" t="inlineStr">
        <is>
          <t>2. AI / LLM PROVIDERS  (the brain of every agent)</t>
        </is>
      </c>
      <c r="B29" s="47" t="inlineStr">
        <is>
          <t>STABILITY_API_KEY</t>
        </is>
      </c>
      <c r="C29" s="50" t="inlineStr">
        <is>
          <t>Stability AI</t>
        </is>
      </c>
      <c r="D29" s="44" t="inlineStr">
        <is>
          <t>Provider credential</t>
        </is>
      </c>
      <c r="E29" s="44" t="inlineStr">
        <is>
          <t>No — simulates if blank</t>
        </is>
      </c>
    </row>
    <row r="30">
      <c r="A30" s="44" t="inlineStr">
        <is>
          <t>2. AI / LLM PROVIDERS  (the brain of every agent)</t>
        </is>
      </c>
      <c r="B30" s="47" t="inlineStr">
        <is>
          <t>FAL_API_KEY</t>
        </is>
      </c>
      <c r="C30" s="50" t="inlineStr">
        <is>
          <t>fal.ai</t>
        </is>
      </c>
      <c r="D30" s="44" t="inlineStr">
        <is>
          <t>Provider credential</t>
        </is>
      </c>
      <c r="E30" s="44" t="inlineStr">
        <is>
          <t>No — simulates if blank</t>
        </is>
      </c>
    </row>
    <row r="31">
      <c r="A31" s="44" t="inlineStr">
        <is>
          <t>3. PAID MEDIA  (Paid Media Agent + Autonomous Media Buyer)</t>
        </is>
      </c>
      <c r="B31" s="47" t="inlineStr">
        <is>
          <t>META_APP_ID</t>
        </is>
      </c>
      <c r="C31" s="50" t="inlineStr">
        <is>
          <t>Meta Ads (Facebook + Instagram)</t>
        </is>
      </c>
      <c r="D31" s="44" t="inlineStr">
        <is>
          <t>Provider credential</t>
        </is>
      </c>
      <c r="E31" s="44" t="inlineStr">
        <is>
          <t>No — simulates if blank</t>
        </is>
      </c>
    </row>
    <row r="32">
      <c r="A32" s="44" t="inlineStr">
        <is>
          <t>3. PAID MEDIA  (Paid Media Agent + Autonomous Media Buyer)</t>
        </is>
      </c>
      <c r="B32" s="47" t="inlineStr">
        <is>
          <t>META_APP_SECRET</t>
        </is>
      </c>
      <c r="C32" s="50" t="inlineStr">
        <is>
          <t>Meta Ads (Facebook + Instagram)</t>
        </is>
      </c>
      <c r="D32" s="44" t="inlineStr">
        <is>
          <t>Provider credential</t>
        </is>
      </c>
      <c r="E32" s="44" t="inlineStr">
        <is>
          <t>No — simulates if blank</t>
        </is>
      </c>
    </row>
    <row r="33">
      <c r="A33" s="44" t="inlineStr">
        <is>
          <t>3. PAID MEDIA  (Paid Media Agent + Autonomous Media Buyer)</t>
        </is>
      </c>
      <c r="B33" s="47" t="inlineStr">
        <is>
          <t>META_ACCESS_TOKEN</t>
        </is>
      </c>
      <c r="C33" s="50" t="inlineStr">
        <is>
          <t>Meta Ads (Facebook + Instagram)</t>
        </is>
      </c>
      <c r="D33" s="44" t="inlineStr">
        <is>
          <t>Provider credential</t>
        </is>
      </c>
      <c r="E33" s="44" t="inlineStr">
        <is>
          <t>No — simulates if blank</t>
        </is>
      </c>
    </row>
    <row r="34">
      <c r="A34" s="44" t="inlineStr">
        <is>
          <t>3. PAID MEDIA  (Paid Media Agent + Autonomous Media Buyer)</t>
        </is>
      </c>
      <c r="B34" s="47" t="inlineStr">
        <is>
          <t>META_AD_ACCOUNT_ID</t>
        </is>
      </c>
      <c r="C34" s="50" t="inlineStr">
        <is>
          <t>Meta Ads (Facebook + Instagram)</t>
        </is>
      </c>
      <c r="D34" s="44" t="inlineStr">
        <is>
          <t>Provider credential</t>
        </is>
      </c>
      <c r="E34" s="44" t="inlineStr">
        <is>
          <t>No — simulates if blank</t>
        </is>
      </c>
    </row>
    <row r="35">
      <c r="A35" s="44" t="inlineStr">
        <is>
          <t>3. PAID MEDIA  (Paid Media Agent + Autonomous Media Buyer)</t>
        </is>
      </c>
      <c r="B35" s="47" t="inlineStr">
        <is>
          <t>META_PIXEL_ID</t>
        </is>
      </c>
      <c r="C35" s="50" t="inlineStr">
        <is>
          <t>Meta Ads (Facebook + Instagram)</t>
        </is>
      </c>
      <c r="D35" s="44" t="inlineStr">
        <is>
          <t>Provider credential</t>
        </is>
      </c>
      <c r="E35" s="44" t="inlineStr">
        <is>
          <t>No — simulates if blank</t>
        </is>
      </c>
    </row>
    <row r="36">
      <c r="A36" s="44" t="inlineStr">
        <is>
          <t>3. PAID MEDIA  (Paid Media Agent + Autonomous Media Buyer)</t>
        </is>
      </c>
      <c r="B36" s="47" t="inlineStr">
        <is>
          <t>META_PAGE_ID</t>
        </is>
      </c>
      <c r="C36" s="50" t="inlineStr">
        <is>
          <t>Meta Ads (Facebook + Instagram)</t>
        </is>
      </c>
      <c r="D36" s="44" t="inlineStr">
        <is>
          <t>Provider credential</t>
        </is>
      </c>
      <c r="E36" s="44" t="inlineStr">
        <is>
          <t>No — simulates if blank</t>
        </is>
      </c>
    </row>
    <row r="37">
      <c r="A37" s="44" t="inlineStr">
        <is>
          <t>3. PAID MEDIA  (Paid Media Agent + Autonomous Media Buyer)</t>
        </is>
      </c>
      <c r="B37" s="47" t="inlineStr">
        <is>
          <t>META_INSTAGRAM_ACCOUNT_ID</t>
        </is>
      </c>
      <c r="C37" s="50" t="inlineStr">
        <is>
          <t>Meta Ads (Facebook + Instagram)</t>
        </is>
      </c>
      <c r="D37" s="44" t="inlineStr">
        <is>
          <t>Provider credential</t>
        </is>
      </c>
      <c r="E37" s="44" t="inlineStr">
        <is>
          <t>No — simulates if blank</t>
        </is>
      </c>
    </row>
    <row r="38">
      <c r="A38" s="44" t="inlineStr">
        <is>
          <t>3. PAID MEDIA  (Paid Media Agent + Autonomous Media Buyer)</t>
        </is>
      </c>
      <c r="B38" s="47" t="inlineStr">
        <is>
          <t>META_API_VERSION</t>
        </is>
      </c>
      <c r="C38" s="50" t="inlineStr">
        <is>
          <t>Meta Ads (Facebook + Instagram)</t>
        </is>
      </c>
      <c r="D38" s="44" t="inlineStr">
        <is>
          <t>Provider credential</t>
        </is>
      </c>
      <c r="E38" s="44" t="inlineStr">
        <is>
          <t>No — simulates if blank</t>
        </is>
      </c>
    </row>
    <row r="39">
      <c r="A39" s="44" t="inlineStr">
        <is>
          <t>3. PAID MEDIA  (Paid Media Agent + Autonomous Media Buyer)</t>
        </is>
      </c>
      <c r="B39" s="47" t="inlineStr">
        <is>
          <t>META_WEBHOOK_VERIFY_TOKEN</t>
        </is>
      </c>
      <c r="C39" s="50" t="inlineStr">
        <is>
          <t>You invent this string (must match Meta)</t>
        </is>
      </c>
      <c r="D39" s="44" t="inlineStr">
        <is>
          <t>Provider credential</t>
        </is>
      </c>
      <c r="E39" s="44" t="inlineStr">
        <is>
          <t>No — simulates if blank</t>
        </is>
      </c>
    </row>
    <row r="40">
      <c r="A40" s="44" t="inlineStr">
        <is>
          <t>3. PAID MEDIA  (Paid Media Agent + Autonomous Media Buyer)</t>
        </is>
      </c>
      <c r="B40" s="47" t="inlineStr">
        <is>
          <t>GOOGLE_ADS_DEVELOPER_TOKEN</t>
        </is>
      </c>
      <c r="C40" s="50" t="inlineStr">
        <is>
          <t>Google Ads</t>
        </is>
      </c>
      <c r="D40" s="44" t="inlineStr">
        <is>
          <t>Provider credential</t>
        </is>
      </c>
      <c r="E40" s="44" t="inlineStr">
        <is>
          <t>No — simulates if blank</t>
        </is>
      </c>
    </row>
    <row r="41">
      <c r="A41" s="44" t="inlineStr">
        <is>
          <t>3. PAID MEDIA  (Paid Media Agent + Autonomous Media Buyer)</t>
        </is>
      </c>
      <c r="B41" s="47" t="inlineStr">
        <is>
          <t>GOOGLE_ADS_CLIENT_ID</t>
        </is>
      </c>
      <c r="C41" s="50" t="inlineStr">
        <is>
          <t>Google Ads</t>
        </is>
      </c>
      <c r="D41" s="44" t="inlineStr">
        <is>
          <t>Provider credential</t>
        </is>
      </c>
      <c r="E41" s="44" t="inlineStr">
        <is>
          <t>No — simulates if blank</t>
        </is>
      </c>
    </row>
    <row r="42">
      <c r="A42" s="44" t="inlineStr">
        <is>
          <t>3. PAID MEDIA  (Paid Media Agent + Autonomous Media Buyer)</t>
        </is>
      </c>
      <c r="B42" s="47" t="inlineStr">
        <is>
          <t>GOOGLE_ADS_CLIENT_SECRET</t>
        </is>
      </c>
      <c r="C42" s="50" t="inlineStr">
        <is>
          <t>Google Ads</t>
        </is>
      </c>
      <c r="D42" s="44" t="inlineStr">
        <is>
          <t>Provider credential</t>
        </is>
      </c>
      <c r="E42" s="44" t="inlineStr">
        <is>
          <t>No — simulates if blank</t>
        </is>
      </c>
    </row>
    <row r="43">
      <c r="A43" s="44" t="inlineStr">
        <is>
          <t>3. PAID MEDIA  (Paid Media Agent + Autonomous Media Buyer)</t>
        </is>
      </c>
      <c r="B43" s="47" t="inlineStr">
        <is>
          <t>GOOGLE_ADS_REFRESH_TOKEN</t>
        </is>
      </c>
      <c r="C43" s="50" t="inlineStr">
        <is>
          <t>Google Ads</t>
        </is>
      </c>
      <c r="D43" s="44" t="inlineStr">
        <is>
          <t>Provider credential</t>
        </is>
      </c>
      <c r="E43" s="44" t="inlineStr">
        <is>
          <t>No — simulates if blank</t>
        </is>
      </c>
    </row>
    <row r="44">
      <c r="A44" s="44" t="inlineStr">
        <is>
          <t>3. PAID MEDIA  (Paid Media Agent + Autonomous Media Buyer)</t>
        </is>
      </c>
      <c r="B44" s="47" t="inlineStr">
        <is>
          <t>GOOGLE_ADS_LOGIN_CUSTOMER_ID</t>
        </is>
      </c>
      <c r="C44" s="50" t="inlineStr">
        <is>
          <t>Google Ads</t>
        </is>
      </c>
      <c r="D44" s="44" t="inlineStr">
        <is>
          <t>Provider credential</t>
        </is>
      </c>
      <c r="E44" s="44" t="inlineStr">
        <is>
          <t>No — simulates if blank</t>
        </is>
      </c>
    </row>
    <row r="45">
      <c r="A45" s="44" t="inlineStr">
        <is>
          <t>3. PAID MEDIA  (Paid Media Agent + Autonomous Media Buyer)</t>
        </is>
      </c>
      <c r="B45" s="47" t="inlineStr">
        <is>
          <t>GOOGLE_ADS_CUSTOMER_ID</t>
        </is>
      </c>
      <c r="C45" s="50" t="inlineStr">
        <is>
          <t>Google Ads</t>
        </is>
      </c>
      <c r="D45" s="44" t="inlineStr">
        <is>
          <t>Provider credential</t>
        </is>
      </c>
      <c r="E45" s="44" t="inlineStr">
        <is>
          <t>No — simulates if blank</t>
        </is>
      </c>
    </row>
    <row r="46">
      <c r="A46" s="44" t="inlineStr">
        <is>
          <t>3. PAID MEDIA  (Paid Media Agent + Autonomous Media Buyer)</t>
        </is>
      </c>
      <c r="B46" s="47" t="inlineStr">
        <is>
          <t>LINKEDIN_CLIENT_ID</t>
        </is>
      </c>
      <c r="C46" s="50" t="inlineStr">
        <is>
          <t>LinkedIn Marketing API</t>
        </is>
      </c>
      <c r="D46" s="44" t="inlineStr">
        <is>
          <t>Provider credential</t>
        </is>
      </c>
      <c r="E46" s="44" t="inlineStr">
        <is>
          <t>No — simulates if blank</t>
        </is>
      </c>
    </row>
    <row r="47">
      <c r="A47" s="44" t="inlineStr">
        <is>
          <t>3. PAID MEDIA  (Paid Media Agent + Autonomous Media Buyer)</t>
        </is>
      </c>
      <c r="B47" s="47" t="inlineStr">
        <is>
          <t>LINKEDIN_CLIENT_SECRET</t>
        </is>
      </c>
      <c r="C47" s="50" t="inlineStr">
        <is>
          <t>LinkedIn Marketing API</t>
        </is>
      </c>
      <c r="D47" s="44" t="inlineStr">
        <is>
          <t>Provider credential</t>
        </is>
      </c>
      <c r="E47" s="44" t="inlineStr">
        <is>
          <t>No — simulates if blank</t>
        </is>
      </c>
    </row>
    <row r="48">
      <c r="A48" s="44" t="inlineStr">
        <is>
          <t>3. PAID MEDIA  (Paid Media Agent + Autonomous Media Buyer)</t>
        </is>
      </c>
      <c r="B48" s="47" t="inlineStr">
        <is>
          <t>LINKEDIN_ACCESS_TOKEN</t>
        </is>
      </c>
      <c r="C48" s="50" t="inlineStr">
        <is>
          <t>LinkedIn Marketing API</t>
        </is>
      </c>
      <c r="D48" s="44" t="inlineStr">
        <is>
          <t>Provider credential</t>
        </is>
      </c>
      <c r="E48" s="44" t="inlineStr">
        <is>
          <t>No — simulates if blank</t>
        </is>
      </c>
    </row>
    <row r="49">
      <c r="A49" s="44" t="inlineStr">
        <is>
          <t>3. PAID MEDIA  (Paid Media Agent + Autonomous Media Buyer)</t>
        </is>
      </c>
      <c r="B49" s="47" t="inlineStr">
        <is>
          <t>LINKEDIN_AD_ACCOUNT_ID</t>
        </is>
      </c>
      <c r="C49" s="50" t="inlineStr">
        <is>
          <t>LinkedIn Marketing API</t>
        </is>
      </c>
      <c r="D49" s="44" t="inlineStr">
        <is>
          <t>Provider credential</t>
        </is>
      </c>
      <c r="E49" s="44" t="inlineStr">
        <is>
          <t>No — simulates if blank</t>
        </is>
      </c>
    </row>
    <row r="50">
      <c r="A50" s="44" t="inlineStr">
        <is>
          <t>3. PAID MEDIA  (Paid Media Agent + Autonomous Media Buyer)</t>
        </is>
      </c>
      <c r="B50" s="47" t="inlineStr">
        <is>
          <t>LINKEDIN_ORGANIZATION_ID</t>
        </is>
      </c>
      <c r="C50" s="50" t="inlineStr">
        <is>
          <t>LinkedIn Marketing API</t>
        </is>
      </c>
      <c r="D50" s="44" t="inlineStr">
        <is>
          <t>Provider credential</t>
        </is>
      </c>
      <c r="E50" s="44" t="inlineStr">
        <is>
          <t>No — simulates if blank</t>
        </is>
      </c>
    </row>
    <row r="51">
      <c r="A51" s="44" t="inlineStr">
        <is>
          <t>3. PAID MEDIA  (Paid Media Agent + Autonomous Media Buyer)</t>
        </is>
      </c>
      <c r="B51" s="47" t="inlineStr">
        <is>
          <t>TIKTOK_APP_ID</t>
        </is>
      </c>
      <c r="C51" s="50" t="inlineStr">
        <is>
          <t>TikTok Ads</t>
        </is>
      </c>
      <c r="D51" s="44" t="inlineStr">
        <is>
          <t>Provider credential</t>
        </is>
      </c>
      <c r="E51" s="44" t="inlineStr">
        <is>
          <t>No — simulates if blank</t>
        </is>
      </c>
    </row>
    <row r="52">
      <c r="A52" s="44" t="inlineStr">
        <is>
          <t>3. PAID MEDIA  (Paid Media Agent + Autonomous Media Buyer)</t>
        </is>
      </c>
      <c r="B52" s="47" t="inlineStr">
        <is>
          <t>TIKTOK_APP_SECRET</t>
        </is>
      </c>
      <c r="C52" s="50" t="inlineStr">
        <is>
          <t>TikTok Ads</t>
        </is>
      </c>
      <c r="D52" s="44" t="inlineStr">
        <is>
          <t>Provider credential</t>
        </is>
      </c>
      <c r="E52" s="44" t="inlineStr">
        <is>
          <t>No — simulates if blank</t>
        </is>
      </c>
    </row>
    <row r="53">
      <c r="A53" s="44" t="inlineStr">
        <is>
          <t>3. PAID MEDIA  (Paid Media Agent + Autonomous Media Buyer)</t>
        </is>
      </c>
      <c r="B53" s="47" t="inlineStr">
        <is>
          <t>TIKTOK_ACCESS_TOKEN</t>
        </is>
      </c>
      <c r="C53" s="50" t="inlineStr">
        <is>
          <t>TikTok Ads</t>
        </is>
      </c>
      <c r="D53" s="44" t="inlineStr">
        <is>
          <t>Provider credential</t>
        </is>
      </c>
      <c r="E53" s="44" t="inlineStr">
        <is>
          <t>No — simulates if blank</t>
        </is>
      </c>
    </row>
    <row r="54">
      <c r="A54" s="44" t="inlineStr">
        <is>
          <t>3. PAID MEDIA  (Paid Media Agent + Autonomous Media Buyer)</t>
        </is>
      </c>
      <c r="B54" s="47" t="inlineStr">
        <is>
          <t>TIKTOK_ADVERTISER_ID</t>
        </is>
      </c>
      <c r="C54" s="50" t="inlineStr">
        <is>
          <t>TikTok Ads</t>
        </is>
      </c>
      <c r="D54" s="44" t="inlineStr">
        <is>
          <t>Provider credential</t>
        </is>
      </c>
      <c r="E54" s="44" t="inlineStr">
        <is>
          <t>No — simulates if blank</t>
        </is>
      </c>
    </row>
    <row r="55">
      <c r="A55" s="44" t="inlineStr">
        <is>
          <t>3. PAID MEDIA  (Paid Media Agent + Autonomous Media Buyer)</t>
        </is>
      </c>
      <c r="B55" s="47" t="inlineStr">
        <is>
          <t>X_API_KEY</t>
        </is>
      </c>
      <c r="C55" s="50" t="inlineStr">
        <is>
          <t>X (Twitter) Ads</t>
        </is>
      </c>
      <c r="D55" s="44" t="inlineStr">
        <is>
          <t>Provider credential</t>
        </is>
      </c>
      <c r="E55" s="44" t="inlineStr">
        <is>
          <t>No — simulates if blank</t>
        </is>
      </c>
    </row>
    <row r="56">
      <c r="A56" s="44" t="inlineStr">
        <is>
          <t>3. PAID MEDIA  (Paid Media Agent + Autonomous Media Buyer)</t>
        </is>
      </c>
      <c r="B56" s="47" t="inlineStr">
        <is>
          <t>X_API_SECRET</t>
        </is>
      </c>
      <c r="C56" s="50" t="inlineStr">
        <is>
          <t>X (Twitter) Ads</t>
        </is>
      </c>
      <c r="D56" s="44" t="inlineStr">
        <is>
          <t>Provider credential</t>
        </is>
      </c>
      <c r="E56" s="44" t="inlineStr">
        <is>
          <t>No — simulates if blank</t>
        </is>
      </c>
    </row>
    <row r="57">
      <c r="A57" s="44" t="inlineStr">
        <is>
          <t>3. PAID MEDIA  (Paid Media Agent + Autonomous Media Buyer)</t>
        </is>
      </c>
      <c r="B57" s="47" t="inlineStr">
        <is>
          <t>X_ACCESS_TOKEN</t>
        </is>
      </c>
      <c r="C57" s="50" t="inlineStr">
        <is>
          <t>X (Twitter) Ads</t>
        </is>
      </c>
      <c r="D57" s="44" t="inlineStr">
        <is>
          <t>Provider credential</t>
        </is>
      </c>
      <c r="E57" s="44" t="inlineStr">
        <is>
          <t>No — simulates if blank</t>
        </is>
      </c>
    </row>
    <row r="58">
      <c r="A58" s="44" t="inlineStr">
        <is>
          <t>3. PAID MEDIA  (Paid Media Agent + Autonomous Media Buyer)</t>
        </is>
      </c>
      <c r="B58" s="47" t="inlineStr">
        <is>
          <t>X_ACCESS_TOKEN_SECRET</t>
        </is>
      </c>
      <c r="C58" s="50" t="inlineStr">
        <is>
          <t>X (Twitter) Ads</t>
        </is>
      </c>
      <c r="D58" s="44" t="inlineStr">
        <is>
          <t>Provider credential</t>
        </is>
      </c>
      <c r="E58" s="44" t="inlineStr">
        <is>
          <t>No — simulates if blank</t>
        </is>
      </c>
    </row>
    <row r="59">
      <c r="A59" s="44" t="inlineStr">
        <is>
          <t>3. PAID MEDIA  (Paid Media Agent + Autonomous Media Buyer)</t>
        </is>
      </c>
      <c r="B59" s="47" t="inlineStr">
        <is>
          <t>X_ADS_ACCOUNT_ID</t>
        </is>
      </c>
      <c r="C59" s="50" t="inlineStr">
        <is>
          <t>X (Twitter) Ads</t>
        </is>
      </c>
      <c r="D59" s="44" t="inlineStr">
        <is>
          <t>Provider credential</t>
        </is>
      </c>
      <c r="E59" s="44" t="inlineStr">
        <is>
          <t>No — simulates if blank</t>
        </is>
      </c>
    </row>
    <row r="60">
      <c r="A60" s="44" t="inlineStr">
        <is>
          <t>4. ORGANIC SOCIAL  (Social Media Agent + LinkedIn Agent)</t>
        </is>
      </c>
      <c r="B60" s="47" t="inlineStr">
        <is>
          <t>YOUTUBE_CLIENT_ID</t>
        </is>
      </c>
      <c r="C60" s="50" t="inlineStr">
        <is>
          <t>YouTube Data API</t>
        </is>
      </c>
      <c r="D60" s="44" t="inlineStr">
        <is>
          <t>Provider credential</t>
        </is>
      </c>
      <c r="E60" s="44" t="inlineStr">
        <is>
          <t>No — simulates if blank</t>
        </is>
      </c>
    </row>
    <row r="61">
      <c r="A61" s="44" t="inlineStr">
        <is>
          <t>4. ORGANIC SOCIAL  (Social Media Agent + LinkedIn Agent)</t>
        </is>
      </c>
      <c r="B61" s="47" t="inlineStr">
        <is>
          <t>YOUTUBE_CLIENT_SECRET</t>
        </is>
      </c>
      <c r="C61" s="50" t="inlineStr">
        <is>
          <t>YouTube Data API</t>
        </is>
      </c>
      <c r="D61" s="44" t="inlineStr">
        <is>
          <t>Provider credential</t>
        </is>
      </c>
      <c r="E61" s="44" t="inlineStr">
        <is>
          <t>No — simulates if blank</t>
        </is>
      </c>
    </row>
    <row r="62">
      <c r="A62" s="44" t="inlineStr">
        <is>
          <t>4. ORGANIC SOCIAL  (Social Media Agent + LinkedIn Agent)</t>
        </is>
      </c>
      <c r="B62" s="47" t="inlineStr">
        <is>
          <t>YOUTUBE_REFRESH_TOKEN</t>
        </is>
      </c>
      <c r="C62" s="50" t="inlineStr">
        <is>
          <t>YouTube Data API</t>
        </is>
      </c>
      <c r="D62" s="44" t="inlineStr">
        <is>
          <t>Provider credential</t>
        </is>
      </c>
      <c r="E62" s="44" t="inlineStr">
        <is>
          <t>No — simulates if blank</t>
        </is>
      </c>
    </row>
    <row r="63">
      <c r="A63" s="44" t="inlineStr">
        <is>
          <t>4. ORGANIC SOCIAL  (Social Media Agent + LinkedIn Agent)</t>
        </is>
      </c>
      <c r="B63" s="47" t="inlineStr">
        <is>
          <t>YOUTUBE_CHANNEL_ID</t>
        </is>
      </c>
      <c r="C63" s="50" t="inlineStr">
        <is>
          <t>YouTube Data API</t>
        </is>
      </c>
      <c r="D63" s="44" t="inlineStr">
        <is>
          <t>Provider credential</t>
        </is>
      </c>
      <c r="E63" s="44" t="inlineStr">
        <is>
          <t>No — simulates if blank</t>
        </is>
      </c>
    </row>
    <row r="64">
      <c r="A64" s="44" t="inlineStr">
        <is>
          <t>4. ORGANIC SOCIAL  (Social Media Agent + LinkedIn Agent)</t>
        </is>
      </c>
      <c r="B64" s="47" t="inlineStr">
        <is>
          <t>TIKTOK_CONTENT_CLIENT_KEY</t>
        </is>
      </c>
      <c r="C64" s="50" t="inlineStr">
        <is>
          <t>TikTok Content Posting</t>
        </is>
      </c>
      <c r="D64" s="44" t="inlineStr">
        <is>
          <t>Provider credential</t>
        </is>
      </c>
      <c r="E64" s="44" t="inlineStr">
        <is>
          <t>No — simulates if blank</t>
        </is>
      </c>
    </row>
    <row r="65">
      <c r="A65" s="44" t="inlineStr">
        <is>
          <t>4. ORGANIC SOCIAL  (Social Media Agent + LinkedIn Agent)</t>
        </is>
      </c>
      <c r="B65" s="47" t="inlineStr">
        <is>
          <t>TIKTOK_CONTENT_CLIENT_SECRET</t>
        </is>
      </c>
      <c r="C65" s="50" t="inlineStr">
        <is>
          <t>TikTok Content Posting</t>
        </is>
      </c>
      <c r="D65" s="44" t="inlineStr">
        <is>
          <t>Provider credential</t>
        </is>
      </c>
      <c r="E65" s="44" t="inlineStr">
        <is>
          <t>No — simulates if blank</t>
        </is>
      </c>
    </row>
    <row r="66">
      <c r="A66" s="44" t="inlineStr">
        <is>
          <t>4. ORGANIC SOCIAL  (Social Media Agent + LinkedIn Agent)</t>
        </is>
      </c>
      <c r="B66" s="47" t="inlineStr">
        <is>
          <t>BUFFER_ACCESS_TOKEN</t>
        </is>
      </c>
      <c r="C66" s="50" t="inlineStr">
        <is>
          <t>Buffer (alternative to Ayrshare)</t>
        </is>
      </c>
      <c r="D66" s="44" t="inlineStr">
        <is>
          <t>Provider credential</t>
        </is>
      </c>
      <c r="E66" s="44" t="inlineStr">
        <is>
          <t>No — simulates if blank</t>
        </is>
      </c>
    </row>
    <row r="67">
      <c r="A67" s="44" t="inlineStr">
        <is>
          <t>4. ORGANIC SOCIAL  (Social Media Agent + LinkedIn Agent)</t>
        </is>
      </c>
      <c r="B67" s="47" t="inlineStr">
        <is>
          <t>AYRSHARE_API_KEY</t>
        </is>
      </c>
      <c r="C67" s="50" t="inlineStr">
        <is>
          <t>Ayrshare</t>
        </is>
      </c>
      <c r="D67" s="44" t="inlineStr">
        <is>
          <t>Provider credential</t>
        </is>
      </c>
      <c r="E67" s="44" t="inlineStr">
        <is>
          <t>No — simulates if blank</t>
        </is>
      </c>
    </row>
    <row r="68">
      <c r="A68" s="44" t="inlineStr">
        <is>
          <t>5. PROSPECTING &amp; DATA ENRICHMENT  (waterfall order = priority order)</t>
        </is>
      </c>
      <c r="B68" s="47" t="inlineStr">
        <is>
          <t>ENRICHMENT_WATERFALL</t>
        </is>
      </c>
      <c r="C68" s="50" t="inlineStr">
        <is>
          <t>Hunter.io</t>
        </is>
      </c>
      <c r="D68" s="44" t="inlineStr">
        <is>
          <t>Provider credential</t>
        </is>
      </c>
      <c r="E68" s="44" t="inlineStr">
        <is>
          <t>No — simulates if blank</t>
        </is>
      </c>
    </row>
    <row r="69">
      <c r="A69" s="44" t="inlineStr">
        <is>
          <t>5. PROSPECTING &amp; DATA ENRICHMENT  (waterfall order = priority order)</t>
        </is>
      </c>
      <c r="B69" s="47" t="inlineStr">
        <is>
          <t>APOLLO_API_KEY</t>
        </is>
      </c>
      <c r="C69" s="50" t="inlineStr">
        <is>
          <t>Apollo.io</t>
        </is>
      </c>
      <c r="D69" s="44" t="inlineStr">
        <is>
          <t>Provider credential</t>
        </is>
      </c>
      <c r="E69" s="44" t="inlineStr">
        <is>
          <t>No — simulates if blank</t>
        </is>
      </c>
    </row>
    <row r="70">
      <c r="A70" s="44" t="inlineStr">
        <is>
          <t>5. PROSPECTING &amp; DATA ENRICHMENT  (waterfall order = priority order)</t>
        </is>
      </c>
      <c r="B70" s="47" t="inlineStr">
        <is>
          <t>CLEARBIT_API_KEY</t>
        </is>
      </c>
      <c r="C70" s="50" t="inlineStr">
        <is>
          <t>Clearbit (HubSpot Breeze Intelligence)</t>
        </is>
      </c>
      <c r="D70" s="44" t="inlineStr">
        <is>
          <t>Provider credential</t>
        </is>
      </c>
      <c r="E70" s="44" t="inlineStr">
        <is>
          <t>No — simulates if blank</t>
        </is>
      </c>
    </row>
    <row r="71">
      <c r="A71" s="44" t="inlineStr">
        <is>
          <t>5. PROSPECTING &amp; DATA ENRICHMENT  (waterfall order = priority order)</t>
        </is>
      </c>
      <c r="B71" s="47" t="inlineStr">
        <is>
          <t>PEOPLE_DATA_LABS_API_KEY</t>
        </is>
      </c>
      <c r="C71" s="50" t="inlineStr">
        <is>
          <t>People Data Labs</t>
        </is>
      </c>
      <c r="D71" s="44" t="inlineStr">
        <is>
          <t>Provider credential</t>
        </is>
      </c>
      <c r="E71" s="44" t="inlineStr">
        <is>
          <t>No — simulates if blank</t>
        </is>
      </c>
    </row>
    <row r="72">
      <c r="A72" s="44" t="inlineStr">
        <is>
          <t>5. PROSPECTING &amp; DATA ENRICHMENT  (waterfall order = priority order)</t>
        </is>
      </c>
      <c r="B72" s="47" t="inlineStr">
        <is>
          <t>HUNTER_API_KEY</t>
        </is>
      </c>
      <c r="C72" s="50" t="inlineStr">
        <is>
          <t>Hunter.io</t>
        </is>
      </c>
      <c r="D72" s="44" t="inlineStr">
        <is>
          <t>Provider credential</t>
        </is>
      </c>
      <c r="E72" s="44" t="inlineStr">
        <is>
          <t>No — simulates if blank</t>
        </is>
      </c>
    </row>
    <row r="73">
      <c r="A73" s="44" t="inlineStr">
        <is>
          <t>5. PROSPECTING &amp; DATA ENRICHMENT  (waterfall order = priority order)</t>
        </is>
      </c>
      <c r="B73" s="47" t="inlineStr">
        <is>
          <t>ZOOMINFO_USERNAME</t>
        </is>
      </c>
      <c r="C73" s="50" t="inlineStr">
        <is>
          <t>ZoomInfo</t>
        </is>
      </c>
      <c r="D73" s="44" t="inlineStr">
        <is>
          <t>Provider credential</t>
        </is>
      </c>
      <c r="E73" s="44" t="inlineStr">
        <is>
          <t>No — simulates if blank</t>
        </is>
      </c>
    </row>
    <row r="74">
      <c r="A74" s="44" t="inlineStr">
        <is>
          <t>5. PROSPECTING &amp; DATA ENRICHMENT  (waterfall order = priority order)</t>
        </is>
      </c>
      <c r="B74" s="47" t="inlineStr">
        <is>
          <t>ZOOMINFO_PASSWORD</t>
        </is>
      </c>
      <c r="C74" s="50" t="inlineStr">
        <is>
          <t>ZoomInfo</t>
        </is>
      </c>
      <c r="D74" s="44" t="inlineStr">
        <is>
          <t>Provider credential</t>
        </is>
      </c>
      <c r="E74" s="44" t="inlineStr">
        <is>
          <t>No — simulates if blank</t>
        </is>
      </c>
    </row>
    <row r="75">
      <c r="A75" s="44" t="inlineStr">
        <is>
          <t>5. PROSPECTING &amp; DATA ENRICHMENT  (waterfall order = priority order)</t>
        </is>
      </c>
      <c r="B75" s="47" t="inlineStr">
        <is>
          <t>ZOOMINFO_CLIENT_ID</t>
        </is>
      </c>
      <c r="C75" s="50" t="inlineStr">
        <is>
          <t>ZoomInfo</t>
        </is>
      </c>
      <c r="D75" s="44" t="inlineStr">
        <is>
          <t>Provider credential</t>
        </is>
      </c>
      <c r="E75" s="44" t="inlineStr">
        <is>
          <t>No — simulates if blank</t>
        </is>
      </c>
    </row>
    <row r="76">
      <c r="A76" s="44" t="inlineStr">
        <is>
          <t>5. PROSPECTING &amp; DATA ENRICHMENT  (waterfall order = priority order)</t>
        </is>
      </c>
      <c r="B76" s="47" t="inlineStr">
        <is>
          <t>ZOOMINFO_PRIVATE_KEY</t>
        </is>
      </c>
      <c r="C76" s="50" t="inlineStr">
        <is>
          <t>ZoomInfo</t>
        </is>
      </c>
      <c r="D76" s="44" t="inlineStr">
        <is>
          <t>Provider credential</t>
        </is>
      </c>
      <c r="E76" s="44" t="inlineStr">
        <is>
          <t>No — simulates if blank</t>
        </is>
      </c>
    </row>
    <row r="77">
      <c r="A77" s="44" t="inlineStr">
        <is>
          <t>5. PROSPECTING &amp; DATA ENRICHMENT  (waterfall order = priority order)</t>
        </is>
      </c>
      <c r="B77" s="47" t="inlineStr">
        <is>
          <t>LUSHA_API_KEY</t>
        </is>
      </c>
      <c r="C77" s="50" t="inlineStr">
        <is>
          <t>Lusha (alternative enrichment)</t>
        </is>
      </c>
      <c r="D77" s="44" t="inlineStr">
        <is>
          <t>Provider credential</t>
        </is>
      </c>
      <c r="E77" s="44" t="inlineStr">
        <is>
          <t>No — simulates if blank</t>
        </is>
      </c>
    </row>
    <row r="78">
      <c r="A78" s="44" t="inlineStr">
        <is>
          <t>5. PROSPECTING &amp; DATA ENRICHMENT  (waterfall order = priority order)</t>
        </is>
      </c>
      <c r="B78" s="47" t="inlineStr">
        <is>
          <t>CRUNCHBASE_API_KEY</t>
        </is>
      </c>
      <c r="C78" s="50" t="inlineStr">
        <is>
          <t>Crunchbase</t>
        </is>
      </c>
      <c r="D78" s="44" t="inlineStr">
        <is>
          <t>Provider credential</t>
        </is>
      </c>
      <c r="E78" s="44" t="inlineStr">
        <is>
          <t>No — simulates if blank</t>
        </is>
      </c>
    </row>
    <row r="79">
      <c r="A79" s="44" t="inlineStr">
        <is>
          <t>5. PROSPECTING &amp; DATA ENRICHMENT  (waterfall order = priority order)</t>
        </is>
      </c>
      <c r="B79" s="47" t="inlineStr">
        <is>
          <t>BUILTWITH_API_KEY</t>
        </is>
      </c>
      <c r="C79" s="50" t="inlineStr">
        <is>
          <t>BuiltWith</t>
        </is>
      </c>
      <c r="D79" s="44" t="inlineStr">
        <is>
          <t>Provider credential</t>
        </is>
      </c>
      <c r="E79" s="44" t="inlineStr">
        <is>
          <t>No — simulates if blank</t>
        </is>
      </c>
    </row>
    <row r="80">
      <c r="A80" s="44" t="inlineStr">
        <is>
          <t>5. PROSPECTING &amp; DATA ENRICHMENT  (waterfall order = priority order)</t>
        </is>
      </c>
      <c r="B80" s="47" t="inlineStr">
        <is>
          <t>PROXYCURL_API_KEY</t>
        </is>
      </c>
      <c r="C80" s="50" t="inlineStr">
        <is>
          <t>Proxycurl</t>
        </is>
      </c>
      <c r="D80" s="44" t="inlineStr">
        <is>
          <t>Provider credential</t>
        </is>
      </c>
      <c r="E80" s="44" t="inlineStr">
        <is>
          <t>No — simulates if blank</t>
        </is>
      </c>
    </row>
    <row r="81">
      <c r="A81" s="44" t="inlineStr">
        <is>
          <t>5. PROSPECTING &amp; DATA ENRICHMENT  (waterfall order = priority order)</t>
        </is>
      </c>
      <c r="B81" s="47" t="inlineStr">
        <is>
          <t>EMAIL_VERIFICATION_WATERFALL</t>
        </is>
      </c>
      <c r="C81" s="50" t="inlineStr">
        <is>
          <t>MillionVerifier</t>
        </is>
      </c>
      <c r="D81" s="44" t="inlineStr">
        <is>
          <t>Provider credential</t>
        </is>
      </c>
      <c r="E81" s="44" t="inlineStr">
        <is>
          <t>No — simulates if blank</t>
        </is>
      </c>
    </row>
    <row r="82">
      <c r="A82" s="44" t="inlineStr">
        <is>
          <t>5. PROSPECTING &amp; DATA ENRICHMENT  (waterfall order = priority order)</t>
        </is>
      </c>
      <c r="B82" s="47" t="inlineStr">
        <is>
          <t>ZEROBOUNCE_API_KEY</t>
        </is>
      </c>
      <c r="C82" s="50" t="inlineStr">
        <is>
          <t>ZeroBounce</t>
        </is>
      </c>
      <c r="D82" s="44" t="inlineStr">
        <is>
          <t>Provider credential</t>
        </is>
      </c>
      <c r="E82" s="44" t="inlineStr">
        <is>
          <t>No — simulates if blank</t>
        </is>
      </c>
    </row>
    <row r="83">
      <c r="A83" s="44" t="inlineStr">
        <is>
          <t>5. PROSPECTING &amp; DATA ENRICHMENT  (waterfall order = priority order)</t>
        </is>
      </c>
      <c r="B83" s="47" t="inlineStr">
        <is>
          <t>NEVERBOUNCE_API_KEY</t>
        </is>
      </c>
      <c r="C83" s="50" t="inlineStr">
        <is>
          <t>NeverBounce</t>
        </is>
      </c>
      <c r="D83" s="44" t="inlineStr">
        <is>
          <t>Provider credential</t>
        </is>
      </c>
      <c r="E83" s="44" t="inlineStr">
        <is>
          <t>No — simulates if blank</t>
        </is>
      </c>
    </row>
    <row r="84">
      <c r="A84" s="44" t="inlineStr">
        <is>
          <t>5. PROSPECTING &amp; DATA ENRICHMENT  (waterfall order = priority order)</t>
        </is>
      </c>
      <c r="B84" s="47" t="inlineStr">
        <is>
          <t>MILLIONVERIFIER_API_KEY</t>
        </is>
      </c>
      <c r="C84" s="50" t="inlineStr">
        <is>
          <t>MillionVerifier</t>
        </is>
      </c>
      <c r="D84" s="44" t="inlineStr">
        <is>
          <t>Provider credential</t>
        </is>
      </c>
      <c r="E84" s="44" t="inlineStr">
        <is>
          <t>No — simulates if blank</t>
        </is>
      </c>
    </row>
    <row r="85">
      <c r="A85" s="44" t="inlineStr">
        <is>
          <t>6. OUTBOUND SENDING  (AI Sequence Agent / AI SDR)</t>
        </is>
      </c>
      <c r="B85" s="47" t="inlineStr">
        <is>
          <t>OUTBOUND_PROVIDER</t>
        </is>
      </c>
      <c r="C85" s="50" t="inlineStr">
        <is>
          <t>Instantly</t>
        </is>
      </c>
      <c r="D85" s="44" t="inlineStr">
        <is>
          <t>Provider credential</t>
        </is>
      </c>
      <c r="E85" s="44" t="inlineStr">
        <is>
          <t>No — simulates if blank</t>
        </is>
      </c>
    </row>
    <row r="86">
      <c r="A86" s="44" t="inlineStr">
        <is>
          <t>6. OUTBOUND SENDING  (AI Sequence Agent / AI SDR)</t>
        </is>
      </c>
      <c r="B86" s="47" t="inlineStr">
        <is>
          <t>INSTANTLY_API_KEY</t>
        </is>
      </c>
      <c r="C86" s="50" t="inlineStr">
        <is>
          <t>Instantly</t>
        </is>
      </c>
      <c r="D86" s="44" t="inlineStr">
        <is>
          <t>Provider credential</t>
        </is>
      </c>
      <c r="E86" s="44" t="inlineStr">
        <is>
          <t>No — simulates if blank</t>
        </is>
      </c>
    </row>
    <row r="87">
      <c r="A87" s="44" t="inlineStr">
        <is>
          <t>6. OUTBOUND SENDING  (AI Sequence Agent / AI SDR)</t>
        </is>
      </c>
      <c r="B87" s="47" t="inlineStr">
        <is>
          <t>SMARTLEAD_API_KEY</t>
        </is>
      </c>
      <c r="C87" s="50" t="inlineStr">
        <is>
          <t>Smartlead</t>
        </is>
      </c>
      <c r="D87" s="44" t="inlineStr">
        <is>
          <t>Provider credential</t>
        </is>
      </c>
      <c r="E87" s="44" t="inlineStr">
        <is>
          <t>No — simulates if blank</t>
        </is>
      </c>
    </row>
    <row r="88">
      <c r="A88" s="44" t="inlineStr">
        <is>
          <t>6. OUTBOUND SENDING  (AI Sequence Agent / AI SDR)</t>
        </is>
      </c>
      <c r="B88" s="47" t="inlineStr">
        <is>
          <t>LEMLIST_API_KEY</t>
        </is>
      </c>
      <c r="C88" s="50" t="inlineStr">
        <is>
          <t>lemlist</t>
        </is>
      </c>
      <c r="D88" s="44" t="inlineStr">
        <is>
          <t>Provider credential</t>
        </is>
      </c>
      <c r="E88" s="44" t="inlineStr">
        <is>
          <t>No — simulates if blank</t>
        </is>
      </c>
    </row>
    <row r="89">
      <c r="A89" s="44" t="inlineStr">
        <is>
          <t>6. OUTBOUND SENDING  (AI Sequence Agent / AI SDR)</t>
        </is>
      </c>
      <c r="B89" s="47" t="inlineStr">
        <is>
          <t>SMTP_HOST</t>
        </is>
      </c>
      <c r="C89" s="50" t="inlineStr">
        <is>
          <t>Your mailbox provider (native SMTP option)</t>
        </is>
      </c>
      <c r="D89" s="44" t="inlineStr">
        <is>
          <t>Provider credential</t>
        </is>
      </c>
      <c r="E89" s="44" t="inlineStr">
        <is>
          <t>No — simulates if blank</t>
        </is>
      </c>
    </row>
    <row r="90">
      <c r="A90" s="44" t="inlineStr">
        <is>
          <t>6. OUTBOUND SENDING  (AI Sequence Agent / AI SDR)</t>
        </is>
      </c>
      <c r="B90" s="47" t="inlineStr">
        <is>
          <t>SMTP_PORT</t>
        </is>
      </c>
      <c r="C90" s="50" t="inlineStr">
        <is>
          <t>Your mailbox provider (native SMTP option)</t>
        </is>
      </c>
      <c r="D90" s="44" t="inlineStr">
        <is>
          <t>Provider credential</t>
        </is>
      </c>
      <c r="E90" s="44" t="inlineStr">
        <is>
          <t>No — simulates if blank</t>
        </is>
      </c>
    </row>
    <row r="91">
      <c r="A91" s="44" t="inlineStr">
        <is>
          <t>6. OUTBOUND SENDING  (AI Sequence Agent / AI SDR)</t>
        </is>
      </c>
      <c r="B91" s="47" t="inlineStr">
        <is>
          <t>SMTP_USER</t>
        </is>
      </c>
      <c r="C91" s="50" t="inlineStr">
        <is>
          <t>Your mailbox provider (native SMTP option)</t>
        </is>
      </c>
      <c r="D91" s="44" t="inlineStr">
        <is>
          <t>Provider credential</t>
        </is>
      </c>
      <c r="E91" s="44" t="inlineStr">
        <is>
          <t>No — simulates if blank</t>
        </is>
      </c>
    </row>
    <row r="92">
      <c r="A92" s="44" t="inlineStr">
        <is>
          <t>6. OUTBOUND SENDING  (AI Sequence Agent / AI SDR)</t>
        </is>
      </c>
      <c r="B92" s="47" t="inlineStr">
        <is>
          <t>SMTP_PASSWORD</t>
        </is>
      </c>
      <c r="C92" s="50" t="inlineStr">
        <is>
          <t>Your mailbox provider (native SMTP option)</t>
        </is>
      </c>
      <c r="D92" s="44" t="inlineStr">
        <is>
          <t>Provider credential</t>
        </is>
      </c>
      <c r="E92" s="44" t="inlineStr">
        <is>
          <t>No — simulates if blank</t>
        </is>
      </c>
    </row>
    <row r="93">
      <c r="A93" s="44" t="inlineStr">
        <is>
          <t>6. OUTBOUND SENDING  (AI Sequence Agent / AI SDR)</t>
        </is>
      </c>
      <c r="B93" s="47" t="inlineStr">
        <is>
          <t>SMTP_USE_TLS</t>
        </is>
      </c>
      <c r="C93" s="50" t="inlineStr">
        <is>
          <t>Your mailbox provider (native SMTP option)</t>
        </is>
      </c>
      <c r="D93" s="44" t="inlineStr">
        <is>
          <t>Provider credential</t>
        </is>
      </c>
      <c r="E93" s="44" t="inlineStr">
        <is>
          <t>No — simulates if blank</t>
        </is>
      </c>
    </row>
    <row r="94">
      <c r="A94" s="44" t="inlineStr">
        <is>
          <t>6. OUTBOUND SENDING  (AI Sequence Agent / AI SDR)</t>
        </is>
      </c>
      <c r="B94" s="47" t="inlineStr">
        <is>
          <t>GMAIL_CLIENT_ID</t>
        </is>
      </c>
      <c r="C94" s="50" t="inlineStr">
        <is>
          <t>Gmail API</t>
        </is>
      </c>
      <c r="D94" s="44" t="inlineStr">
        <is>
          <t>Provider credential</t>
        </is>
      </c>
      <c r="E94" s="44" t="inlineStr">
        <is>
          <t>No — simulates if blank</t>
        </is>
      </c>
    </row>
    <row r="95">
      <c r="A95" s="44" t="inlineStr">
        <is>
          <t>6. OUTBOUND SENDING  (AI Sequence Agent / AI SDR)</t>
        </is>
      </c>
      <c r="B95" s="47" t="inlineStr">
        <is>
          <t>GMAIL_CLIENT_SECRET</t>
        </is>
      </c>
      <c r="C95" s="50" t="inlineStr">
        <is>
          <t>Gmail API</t>
        </is>
      </c>
      <c r="D95" s="44" t="inlineStr">
        <is>
          <t>Provider credential</t>
        </is>
      </c>
      <c r="E95" s="44" t="inlineStr">
        <is>
          <t>No — simulates if blank</t>
        </is>
      </c>
    </row>
    <row r="96">
      <c r="A96" s="44" t="inlineStr">
        <is>
          <t>6. OUTBOUND SENDING  (AI Sequence Agent / AI SDR)</t>
        </is>
      </c>
      <c r="B96" s="47" t="inlineStr">
        <is>
          <t>GMAIL_REFRESH_TOKEN</t>
        </is>
      </c>
      <c r="C96" s="50" t="inlineStr">
        <is>
          <t>Gmail API</t>
        </is>
      </c>
      <c r="D96" s="44" t="inlineStr">
        <is>
          <t>Provider credential</t>
        </is>
      </c>
      <c r="E96" s="44" t="inlineStr">
        <is>
          <t>No — simulates if blank</t>
        </is>
      </c>
    </row>
    <row r="97">
      <c r="A97" s="44" t="inlineStr">
        <is>
          <t>6. OUTBOUND SENDING  (AI Sequence Agent / AI SDR)</t>
        </is>
      </c>
      <c r="B97" s="47" t="inlineStr">
        <is>
          <t>MS_GRAPH_TENANT_ID</t>
        </is>
      </c>
      <c r="C97" s="50" t="inlineStr">
        <is>
          <t>Microsoft Graph</t>
        </is>
      </c>
      <c r="D97" s="44" t="inlineStr">
        <is>
          <t>Provider credential</t>
        </is>
      </c>
      <c r="E97" s="44" t="inlineStr">
        <is>
          <t>No — simulates if blank</t>
        </is>
      </c>
    </row>
    <row r="98">
      <c r="A98" s="44" t="inlineStr">
        <is>
          <t>6. OUTBOUND SENDING  (AI Sequence Agent / AI SDR)</t>
        </is>
      </c>
      <c r="B98" s="47" t="inlineStr">
        <is>
          <t>MS_GRAPH_CLIENT_ID</t>
        </is>
      </c>
      <c r="C98" s="50" t="inlineStr">
        <is>
          <t>Microsoft Graph</t>
        </is>
      </c>
      <c r="D98" s="44" t="inlineStr">
        <is>
          <t>Provider credential</t>
        </is>
      </c>
      <c r="E98" s="44" t="inlineStr">
        <is>
          <t>No — simulates if blank</t>
        </is>
      </c>
    </row>
    <row r="99">
      <c r="A99" s="44" t="inlineStr">
        <is>
          <t>6. OUTBOUND SENDING  (AI Sequence Agent / AI SDR)</t>
        </is>
      </c>
      <c r="B99" s="47" t="inlineStr">
        <is>
          <t>MS_GRAPH_CLIENT_SECRET</t>
        </is>
      </c>
      <c r="C99" s="50" t="inlineStr">
        <is>
          <t>Microsoft Graph</t>
        </is>
      </c>
      <c r="D99" s="44" t="inlineStr">
        <is>
          <t>Provider credential</t>
        </is>
      </c>
      <c r="E99" s="44" t="inlineStr">
        <is>
          <t>No — simulates if blank</t>
        </is>
      </c>
    </row>
    <row r="100">
      <c r="A100" s="44" t="inlineStr">
        <is>
          <t>6. OUTBOUND SENDING  (AI Sequence Agent / AI SDR)</t>
        </is>
      </c>
      <c r="B100" s="47" t="inlineStr">
        <is>
          <t>OUTBOUND_DAILY_LIMIT_PER_MAILBOX</t>
        </is>
      </c>
      <c r="C100" s="50" t="inlineStr">
        <is>
          <t>Instantly</t>
        </is>
      </c>
      <c r="D100" s="44" t="inlineStr">
        <is>
          <t>Provider credential</t>
        </is>
      </c>
      <c r="E100" s="44" t="inlineStr">
        <is>
          <t>No — simulates if blank</t>
        </is>
      </c>
    </row>
    <row r="101">
      <c r="A101" s="44" t="inlineStr">
        <is>
          <t>6. OUTBOUND SENDING  (AI Sequence Agent / AI SDR)</t>
        </is>
      </c>
      <c r="B101" s="47" t="inlineStr">
        <is>
          <t>CALENDLY_API_KEY</t>
        </is>
      </c>
      <c r="C101" s="50" t="inlineStr">
        <is>
          <t>Calendly</t>
        </is>
      </c>
      <c r="D101" s="44" t="inlineStr">
        <is>
          <t>Provider credential</t>
        </is>
      </c>
      <c r="E101" s="44" t="inlineStr">
        <is>
          <t>No — simulates if blank</t>
        </is>
      </c>
    </row>
    <row r="102">
      <c r="A102" s="44" t="inlineStr">
        <is>
          <t>6. OUTBOUND SENDING  (AI Sequence Agent / AI SDR)</t>
        </is>
      </c>
      <c r="B102" s="47" t="inlineStr">
        <is>
          <t>CAL_COM_API_KEY</t>
        </is>
      </c>
      <c r="C102" s="50" t="inlineStr">
        <is>
          <t>Cal.com</t>
        </is>
      </c>
      <c r="D102" s="44" t="inlineStr">
        <is>
          <t>Provider credential</t>
        </is>
      </c>
      <c r="E102" s="44" t="inlineStr">
        <is>
          <t>No — simulates if blank</t>
        </is>
      </c>
    </row>
    <row r="103">
      <c r="A103" s="44" t="inlineStr">
        <is>
          <t>6. OUTBOUND SENDING  (AI Sequence Agent / AI SDR)</t>
        </is>
      </c>
      <c r="B103" s="47" t="inlineStr">
        <is>
          <t>GOOGLE_CALENDAR_CLIENT_ID</t>
        </is>
      </c>
      <c r="C103" s="50" t="inlineStr">
        <is>
          <t>Google Cloud (same project as GA4)</t>
        </is>
      </c>
      <c r="D103" s="44" t="inlineStr">
        <is>
          <t>Provider credential</t>
        </is>
      </c>
      <c r="E103" s="44" t="inlineStr">
        <is>
          <t>No — simulates if blank</t>
        </is>
      </c>
    </row>
    <row r="104">
      <c r="A104" s="44" t="inlineStr">
        <is>
          <t>6. OUTBOUND SENDING  (AI Sequence Agent / AI SDR)</t>
        </is>
      </c>
      <c r="B104" s="47" t="inlineStr">
        <is>
          <t>GOOGLE_CALENDAR_CLIENT_SECRET</t>
        </is>
      </c>
      <c r="C104" s="50" t="inlineStr">
        <is>
          <t>Google Cloud (same project as GA4)</t>
        </is>
      </c>
      <c r="D104" s="44" t="inlineStr">
        <is>
          <t>Provider credential</t>
        </is>
      </c>
      <c r="E104" s="44" t="inlineStr">
        <is>
          <t>No — simulates if blank</t>
        </is>
      </c>
    </row>
    <row r="105">
      <c r="A105" s="44" t="inlineStr">
        <is>
          <t>7. EMAIL MARKETING / LIFECYCLE / WHATSAPP</t>
        </is>
      </c>
      <c r="B105" s="47" t="inlineStr">
        <is>
          <t>ESP_PROVIDER</t>
        </is>
      </c>
      <c r="C105" s="50" t="inlineStr">
        <is>
          <t>Resend</t>
        </is>
      </c>
      <c r="D105" s="44" t="inlineStr">
        <is>
          <t>Provider credential</t>
        </is>
      </c>
      <c r="E105" s="44" t="inlineStr">
        <is>
          <t>No — simulates if blank</t>
        </is>
      </c>
    </row>
    <row r="106">
      <c r="A106" s="44" t="inlineStr">
        <is>
          <t>7. EMAIL MARKETING / LIFECYCLE / WHATSAPP</t>
        </is>
      </c>
      <c r="B106" s="47" t="inlineStr">
        <is>
          <t>SENDGRID_API_KEY</t>
        </is>
      </c>
      <c r="C106" s="50" t="inlineStr">
        <is>
          <t>SendGrid</t>
        </is>
      </c>
      <c r="D106" s="44" t="inlineStr">
        <is>
          <t>Provider credential</t>
        </is>
      </c>
      <c r="E106" s="44" t="inlineStr">
        <is>
          <t>No — simulates if blank</t>
        </is>
      </c>
    </row>
    <row r="107">
      <c r="A107" s="44" t="inlineStr">
        <is>
          <t>7. EMAIL MARKETING / LIFECYCLE / WHATSAPP</t>
        </is>
      </c>
      <c r="B107" s="47" t="inlineStr">
        <is>
          <t>RESEND_API_KEY</t>
        </is>
      </c>
      <c r="C107" s="50" t="inlineStr">
        <is>
          <t>Resend</t>
        </is>
      </c>
      <c r="D107" s="44" t="inlineStr">
        <is>
          <t>Provider credential</t>
        </is>
      </c>
      <c r="E107" s="44" t="inlineStr">
        <is>
          <t>No — simulates if blank</t>
        </is>
      </c>
    </row>
    <row r="108">
      <c r="A108" s="44" t="inlineStr">
        <is>
          <t>7. EMAIL MARKETING / LIFECYCLE / WHATSAPP</t>
        </is>
      </c>
      <c r="B108" s="47" t="inlineStr">
        <is>
          <t>MAILCHIMP_API_KEY</t>
        </is>
      </c>
      <c r="C108" s="50" t="inlineStr">
        <is>
          <t>Mailchimp</t>
        </is>
      </c>
      <c r="D108" s="44" t="inlineStr">
        <is>
          <t>Provider credential</t>
        </is>
      </c>
      <c r="E108" s="44" t="inlineStr">
        <is>
          <t>No — simulates if blank</t>
        </is>
      </c>
    </row>
    <row r="109">
      <c r="A109" s="44" t="inlineStr">
        <is>
          <t>7. EMAIL MARKETING / LIFECYCLE / WHATSAPP</t>
        </is>
      </c>
      <c r="B109" s="47" t="inlineStr">
        <is>
          <t>MAILCHIMP_SERVER_PREFIX</t>
        </is>
      </c>
      <c r="C109" s="50" t="inlineStr">
        <is>
          <t>Mailchimp</t>
        </is>
      </c>
      <c r="D109" s="44" t="inlineStr">
        <is>
          <t>Provider credential</t>
        </is>
      </c>
      <c r="E109" s="44" t="inlineStr">
        <is>
          <t>No — simulates if blank</t>
        </is>
      </c>
    </row>
    <row r="110">
      <c r="A110" s="44" t="inlineStr">
        <is>
          <t>7. EMAIL MARKETING / LIFECYCLE / WHATSAPP</t>
        </is>
      </c>
      <c r="B110" s="47" t="inlineStr">
        <is>
          <t>KLAVIYO_API_KEY</t>
        </is>
      </c>
      <c r="C110" s="50" t="inlineStr">
        <is>
          <t>Klaviyo</t>
        </is>
      </c>
      <c r="D110" s="44" t="inlineStr">
        <is>
          <t>Provider credential</t>
        </is>
      </c>
      <c r="E110" s="44" t="inlineStr">
        <is>
          <t>No — simulates if blank</t>
        </is>
      </c>
    </row>
    <row r="111">
      <c r="A111" s="44" t="inlineStr">
        <is>
          <t>7. EMAIL MARKETING / LIFECYCLE / WHATSAPP</t>
        </is>
      </c>
      <c r="B111" s="47" t="inlineStr">
        <is>
          <t>BREVO_API_KEY</t>
        </is>
      </c>
      <c r="C111" s="50" t="inlineStr">
        <is>
          <t>Brevo</t>
        </is>
      </c>
      <c r="D111" s="44" t="inlineStr">
        <is>
          <t>Provider credential</t>
        </is>
      </c>
      <c r="E111" s="44" t="inlineStr">
        <is>
          <t>No — simulates if blank</t>
        </is>
      </c>
    </row>
    <row r="112">
      <c r="A112" s="44" t="inlineStr">
        <is>
          <t>7. EMAIL MARKETING / LIFECYCLE / WHATSAPP</t>
        </is>
      </c>
      <c r="B112" s="47" t="inlineStr">
        <is>
          <t>DEFAULT_FROM_EMAIL</t>
        </is>
      </c>
      <c r="C112" s="50" t="inlineStr">
        <is>
          <t>Resend</t>
        </is>
      </c>
      <c r="D112" s="44" t="inlineStr">
        <is>
          <t>Provider credential</t>
        </is>
      </c>
      <c r="E112" s="44" t="inlineStr">
        <is>
          <t>No — simulates if blank</t>
        </is>
      </c>
    </row>
    <row r="113">
      <c r="A113" s="44" t="inlineStr">
        <is>
          <t>7. EMAIL MARKETING / LIFECYCLE / WHATSAPP</t>
        </is>
      </c>
      <c r="B113" s="47" t="inlineStr">
        <is>
          <t>WHATSAPP_PHONE_NUMBER_ID</t>
        </is>
      </c>
      <c r="C113" s="50" t="inlineStr">
        <is>
          <t>WhatsApp Business Cloud API</t>
        </is>
      </c>
      <c r="D113" s="44" t="inlineStr">
        <is>
          <t>Provider credential</t>
        </is>
      </c>
      <c r="E113" s="44" t="inlineStr">
        <is>
          <t>No — simulates if blank</t>
        </is>
      </c>
    </row>
    <row r="114">
      <c r="A114" s="44" t="inlineStr">
        <is>
          <t>7. EMAIL MARKETING / LIFECYCLE / WHATSAPP</t>
        </is>
      </c>
      <c r="B114" s="47" t="inlineStr">
        <is>
          <t>WHATSAPP_BUSINESS_ACCOUNT_ID</t>
        </is>
      </c>
      <c r="C114" s="50" t="inlineStr">
        <is>
          <t>WhatsApp Business Cloud API</t>
        </is>
      </c>
      <c r="D114" s="44" t="inlineStr">
        <is>
          <t>Provider credential</t>
        </is>
      </c>
      <c r="E114" s="44" t="inlineStr">
        <is>
          <t>No — simulates if blank</t>
        </is>
      </c>
    </row>
    <row r="115">
      <c r="A115" s="44" t="inlineStr">
        <is>
          <t>7. EMAIL MARKETING / LIFECYCLE / WHATSAPP</t>
        </is>
      </c>
      <c r="B115" s="47" t="inlineStr">
        <is>
          <t>WHATSAPP_ACCESS_TOKEN</t>
        </is>
      </c>
      <c r="C115" s="50" t="inlineStr">
        <is>
          <t>WhatsApp Business Cloud API</t>
        </is>
      </c>
      <c r="D115" s="44" t="inlineStr">
        <is>
          <t>Provider credential</t>
        </is>
      </c>
      <c r="E115" s="44" t="inlineStr">
        <is>
          <t>No — simulates if blank</t>
        </is>
      </c>
    </row>
    <row r="116">
      <c r="A116" s="44" t="inlineStr">
        <is>
          <t>7. EMAIL MARKETING / LIFECYCLE / WHATSAPP</t>
        </is>
      </c>
      <c r="B116" s="47" t="inlineStr">
        <is>
          <t>WHATSAPP_WEBHOOK_VERIFY_TOKEN</t>
        </is>
      </c>
      <c r="C116" s="50" t="inlineStr">
        <is>
          <t>You invent this string (must match Meta)</t>
        </is>
      </c>
      <c r="D116" s="44" t="inlineStr">
        <is>
          <t>Provider credential</t>
        </is>
      </c>
      <c r="E116" s="44" t="inlineStr">
        <is>
          <t>No — simulates if blank</t>
        </is>
      </c>
    </row>
    <row r="117">
      <c r="A117" s="44" t="inlineStr">
        <is>
          <t>7. EMAIL MARKETING / LIFECYCLE / WHATSAPP</t>
        </is>
      </c>
      <c r="B117" s="47" t="inlineStr">
        <is>
          <t>TWILIO_ACCOUNT_SID</t>
        </is>
      </c>
      <c r="C117" s="50" t="inlineStr">
        <is>
          <t>Twilio</t>
        </is>
      </c>
      <c r="D117" s="44" t="inlineStr">
        <is>
          <t>Provider credential</t>
        </is>
      </c>
      <c r="E117" s="44" t="inlineStr">
        <is>
          <t>No — simulates if blank</t>
        </is>
      </c>
    </row>
    <row r="118">
      <c r="A118" s="44" t="inlineStr">
        <is>
          <t>7. EMAIL MARKETING / LIFECYCLE / WHATSAPP</t>
        </is>
      </c>
      <c r="B118" s="47" t="inlineStr">
        <is>
          <t>TWILIO_AUTH_TOKEN</t>
        </is>
      </c>
      <c r="C118" s="50" t="inlineStr">
        <is>
          <t>Twilio</t>
        </is>
      </c>
      <c r="D118" s="44" t="inlineStr">
        <is>
          <t>Provider credential</t>
        </is>
      </c>
      <c r="E118" s="44" t="inlineStr">
        <is>
          <t>No — simulates if blank</t>
        </is>
      </c>
    </row>
    <row r="119">
      <c r="A119" s="44" t="inlineStr">
        <is>
          <t>7. EMAIL MARKETING / LIFECYCLE / WHATSAPP</t>
        </is>
      </c>
      <c r="B119" s="47" t="inlineStr">
        <is>
          <t>TWILIO_FROM_NUMBER</t>
        </is>
      </c>
      <c r="C119" s="50" t="inlineStr">
        <is>
          <t>Twilio</t>
        </is>
      </c>
      <c r="D119" s="44" t="inlineStr">
        <is>
          <t>Provider credential</t>
        </is>
      </c>
      <c r="E119" s="44" t="inlineStr">
        <is>
          <t>No — simulates if blank</t>
        </is>
      </c>
    </row>
    <row r="120">
      <c r="A120" s="44" t="inlineStr">
        <is>
          <t>8. CRM  (CRM Agent)</t>
        </is>
      </c>
      <c r="B120" s="47" t="inlineStr">
        <is>
          <t>CRM_PROVIDER</t>
        </is>
      </c>
      <c r="C120" s="50" t="inlineStr">
        <is>
          <t>HubSpot</t>
        </is>
      </c>
      <c r="D120" s="44" t="inlineStr">
        <is>
          <t>Provider credential</t>
        </is>
      </c>
      <c r="E120" s="44" t="inlineStr">
        <is>
          <t>No — simulates if blank</t>
        </is>
      </c>
    </row>
    <row r="121">
      <c r="A121" s="44" t="inlineStr">
        <is>
          <t>8. CRM  (CRM Agent)</t>
        </is>
      </c>
      <c r="B121" s="47" t="inlineStr">
        <is>
          <t>HUBSPOT_ACCESS_TOKEN</t>
        </is>
      </c>
      <c r="C121" s="50" t="inlineStr">
        <is>
          <t>HubSpot</t>
        </is>
      </c>
      <c r="D121" s="44" t="inlineStr">
        <is>
          <t>Provider credential</t>
        </is>
      </c>
      <c r="E121" s="44" t="inlineStr">
        <is>
          <t>No — simulates if blank</t>
        </is>
      </c>
    </row>
    <row r="122">
      <c r="A122" s="44" t="inlineStr">
        <is>
          <t>8. CRM  (CRM Agent)</t>
        </is>
      </c>
      <c r="B122" s="47" t="inlineStr">
        <is>
          <t>HUBSPOT_CLIENT_ID</t>
        </is>
      </c>
      <c r="C122" s="50" t="inlineStr">
        <is>
          <t>HubSpot (only for OAuth apps, not private apps)</t>
        </is>
      </c>
      <c r="D122" s="44" t="inlineStr">
        <is>
          <t>Provider credential</t>
        </is>
      </c>
      <c r="E122" s="44" t="inlineStr">
        <is>
          <t>No — simulates if blank</t>
        </is>
      </c>
    </row>
    <row r="123">
      <c r="A123" s="44" t="inlineStr">
        <is>
          <t>8. CRM  (CRM Agent)</t>
        </is>
      </c>
      <c r="B123" s="47" t="inlineStr">
        <is>
          <t>HUBSPOT_CLIENT_SECRET</t>
        </is>
      </c>
      <c r="C123" s="50" t="inlineStr">
        <is>
          <t>HubSpot (only for OAuth apps, not private apps)</t>
        </is>
      </c>
      <c r="D123" s="44" t="inlineStr">
        <is>
          <t>Provider credential</t>
        </is>
      </c>
      <c r="E123" s="44" t="inlineStr">
        <is>
          <t>No — simulates if blank</t>
        </is>
      </c>
    </row>
    <row r="124">
      <c r="A124" s="44" t="inlineStr">
        <is>
          <t>8. CRM  (CRM Agent)</t>
        </is>
      </c>
      <c r="B124" s="47" t="inlineStr">
        <is>
          <t>HUBSPOT_PORTAL_ID</t>
        </is>
      </c>
      <c r="C124" s="50" t="inlineStr">
        <is>
          <t>HubSpot</t>
        </is>
      </c>
      <c r="D124" s="44" t="inlineStr">
        <is>
          <t>Provider credential</t>
        </is>
      </c>
      <c r="E124" s="44" t="inlineStr">
        <is>
          <t>No — simulates if blank</t>
        </is>
      </c>
    </row>
    <row r="125">
      <c r="A125" s="44" t="inlineStr">
        <is>
          <t>8. CRM  (CRM Agent)</t>
        </is>
      </c>
      <c r="B125" s="47" t="inlineStr">
        <is>
          <t>SALESFORCE_CLIENT_ID</t>
        </is>
      </c>
      <c r="C125" s="50" t="inlineStr">
        <is>
          <t>Salesforce</t>
        </is>
      </c>
      <c r="D125" s="44" t="inlineStr">
        <is>
          <t>Provider credential</t>
        </is>
      </c>
      <c r="E125" s="44" t="inlineStr">
        <is>
          <t>No — simulates if blank</t>
        </is>
      </c>
    </row>
    <row r="126">
      <c r="A126" s="44" t="inlineStr">
        <is>
          <t>8. CRM  (CRM Agent)</t>
        </is>
      </c>
      <c r="B126" s="47" t="inlineStr">
        <is>
          <t>SALESFORCE_CLIENT_SECRET</t>
        </is>
      </c>
      <c r="C126" s="50" t="inlineStr">
        <is>
          <t>Salesforce</t>
        </is>
      </c>
      <c r="D126" s="44" t="inlineStr">
        <is>
          <t>Provider credential</t>
        </is>
      </c>
      <c r="E126" s="44" t="inlineStr">
        <is>
          <t>No — simulates if blank</t>
        </is>
      </c>
    </row>
    <row r="127">
      <c r="A127" s="44" t="inlineStr">
        <is>
          <t>8. CRM  (CRM Agent)</t>
        </is>
      </c>
      <c r="B127" s="47" t="inlineStr">
        <is>
          <t>SALESFORCE_USERNAME</t>
        </is>
      </c>
      <c r="C127" s="50" t="inlineStr">
        <is>
          <t>Salesforce</t>
        </is>
      </c>
      <c r="D127" s="44" t="inlineStr">
        <is>
          <t>Provider credential</t>
        </is>
      </c>
      <c r="E127" s="44" t="inlineStr">
        <is>
          <t>No — simulates if blank</t>
        </is>
      </c>
    </row>
    <row r="128">
      <c r="A128" s="44" t="inlineStr">
        <is>
          <t>8. CRM  (CRM Agent)</t>
        </is>
      </c>
      <c r="B128" s="47" t="inlineStr">
        <is>
          <t>SALESFORCE_PASSWORD</t>
        </is>
      </c>
      <c r="C128" s="50" t="inlineStr">
        <is>
          <t>Salesforce</t>
        </is>
      </c>
      <c r="D128" s="44" t="inlineStr">
        <is>
          <t>Provider credential</t>
        </is>
      </c>
      <c r="E128" s="44" t="inlineStr">
        <is>
          <t>No — simulates if blank</t>
        </is>
      </c>
    </row>
    <row r="129">
      <c r="A129" s="44" t="inlineStr">
        <is>
          <t>8. CRM  (CRM Agent)</t>
        </is>
      </c>
      <c r="B129" s="47" t="inlineStr">
        <is>
          <t>SALESFORCE_SECURITY_TOKEN</t>
        </is>
      </c>
      <c r="C129" s="50" t="inlineStr">
        <is>
          <t>Salesforce</t>
        </is>
      </c>
      <c r="D129" s="44" t="inlineStr">
        <is>
          <t>Provider credential</t>
        </is>
      </c>
      <c r="E129" s="44" t="inlineStr">
        <is>
          <t>No — simulates if blank</t>
        </is>
      </c>
    </row>
    <row r="130">
      <c r="A130" s="44" t="inlineStr">
        <is>
          <t>8. CRM  (CRM Agent)</t>
        </is>
      </c>
      <c r="B130" s="47" t="inlineStr">
        <is>
          <t>SALESFORCE_INSTANCE_URL</t>
        </is>
      </c>
      <c r="C130" s="50" t="inlineStr">
        <is>
          <t>Salesforce</t>
        </is>
      </c>
      <c r="D130" s="44" t="inlineStr">
        <is>
          <t>Provider credential</t>
        </is>
      </c>
      <c r="E130" s="44" t="inlineStr">
        <is>
          <t>No — simulates if blank</t>
        </is>
      </c>
    </row>
    <row r="131">
      <c r="A131" s="44" t="inlineStr">
        <is>
          <t>8. CRM  (CRM Agent)</t>
        </is>
      </c>
      <c r="B131" s="47" t="inlineStr">
        <is>
          <t>PIPEDRIVE_API_TOKEN</t>
        </is>
      </c>
      <c r="C131" s="50" t="inlineStr">
        <is>
          <t>Pipedrive</t>
        </is>
      </c>
      <c r="D131" s="44" t="inlineStr">
        <is>
          <t>Provider credential</t>
        </is>
      </c>
      <c r="E131" s="44" t="inlineStr">
        <is>
          <t>No — simulates if blank</t>
        </is>
      </c>
    </row>
    <row r="132">
      <c r="A132" s="44" t="inlineStr">
        <is>
          <t>8. CRM  (CRM Agent)</t>
        </is>
      </c>
      <c r="B132" s="47" t="inlineStr">
        <is>
          <t>PIPEDRIVE_COMPANY_DOMAIN</t>
        </is>
      </c>
      <c r="C132" s="50" t="inlineStr">
        <is>
          <t>Pipedrive</t>
        </is>
      </c>
      <c r="D132" s="44" t="inlineStr">
        <is>
          <t>Provider credential</t>
        </is>
      </c>
      <c r="E132" s="44" t="inlineStr">
        <is>
          <t>No — simulates if blank</t>
        </is>
      </c>
    </row>
    <row r="133">
      <c r="A133" s="44" t="inlineStr">
        <is>
          <t>9. ANALYTICS, ATTRIBUTION &amp; REVENUE</t>
        </is>
      </c>
      <c r="B133" s="47" t="inlineStr">
        <is>
          <t>GA4_PROPERTY_ID</t>
        </is>
      </c>
      <c r="C133" s="50" t="inlineStr">
        <is>
          <t>Google Analytics 4</t>
        </is>
      </c>
      <c r="D133" s="44" t="inlineStr">
        <is>
          <t>Provider credential</t>
        </is>
      </c>
      <c r="E133" s="44" t="inlineStr">
        <is>
          <t>No — simulates if blank</t>
        </is>
      </c>
    </row>
    <row r="134">
      <c r="A134" s="44" t="inlineStr">
        <is>
          <t>9. ANALYTICS, ATTRIBUTION &amp; REVENUE</t>
        </is>
      </c>
      <c r="B134" s="47" t="inlineStr">
        <is>
          <t>GOOGLE_SERVICE_ACCOUNT_JSON_PATH</t>
        </is>
      </c>
      <c r="C134" s="50" t="inlineStr">
        <is>
          <t>Google Analytics 4</t>
        </is>
      </c>
      <c r="D134" s="44" t="inlineStr">
        <is>
          <t>Provider credential</t>
        </is>
      </c>
      <c r="E134" s="44" t="inlineStr">
        <is>
          <t>No — simulates if blank</t>
        </is>
      </c>
    </row>
    <row r="135">
      <c r="A135" s="44" t="inlineStr">
        <is>
          <t>9. ANALYTICS, ATTRIBUTION &amp; REVENUE</t>
        </is>
      </c>
      <c r="B135" s="47" t="inlineStr">
        <is>
          <t>GOOGLE_SERVICE_ACCOUNT_JSON</t>
        </is>
      </c>
      <c r="C135" s="50" t="inlineStr">
        <is>
          <t>Google Cloud service account (inline JSON)</t>
        </is>
      </c>
      <c r="D135" s="44" t="inlineStr">
        <is>
          <t>Provider credential</t>
        </is>
      </c>
      <c r="E135" s="44" t="inlineStr">
        <is>
          <t>No — simulates if blank</t>
        </is>
      </c>
    </row>
    <row r="136">
      <c r="A136" s="44" t="inlineStr">
        <is>
          <t>9. ANALYTICS, ATTRIBUTION &amp; REVENUE</t>
        </is>
      </c>
      <c r="B136" s="47" t="inlineStr">
        <is>
          <t>GSC_SITE_URL</t>
        </is>
      </c>
      <c r="C136" s="50" t="inlineStr">
        <is>
          <t>Google Search Console</t>
        </is>
      </c>
      <c r="D136" s="44" t="inlineStr">
        <is>
          <t>Provider credential</t>
        </is>
      </c>
      <c r="E136" s="44" t="inlineStr">
        <is>
          <t>No — simulates if blank</t>
        </is>
      </c>
    </row>
    <row r="137">
      <c r="A137" s="44" t="inlineStr">
        <is>
          <t>9. ANALYTICS, ATTRIBUTION &amp; REVENUE</t>
        </is>
      </c>
      <c r="B137" s="47" t="inlineStr">
        <is>
          <t>STRIPE_SECRET_KEY</t>
        </is>
      </c>
      <c r="C137" s="50" t="inlineStr">
        <is>
          <t>Stripe</t>
        </is>
      </c>
      <c r="D137" s="44" t="inlineStr">
        <is>
          <t>Provider credential</t>
        </is>
      </c>
      <c r="E137" s="44" t="inlineStr">
        <is>
          <t>No — simulates if blank</t>
        </is>
      </c>
    </row>
    <row r="138">
      <c r="A138" s="44" t="inlineStr">
        <is>
          <t>9. ANALYTICS, ATTRIBUTION &amp; REVENUE</t>
        </is>
      </c>
      <c r="B138" s="47" t="inlineStr">
        <is>
          <t>STRIPE_WEBHOOK_SECRET</t>
        </is>
      </c>
      <c r="C138" s="50" t="inlineStr">
        <is>
          <t>Stripe</t>
        </is>
      </c>
      <c r="D138" s="44" t="inlineStr">
        <is>
          <t>Provider credential</t>
        </is>
      </c>
      <c r="E138" s="44" t="inlineStr">
        <is>
          <t>No — simulates if blank</t>
        </is>
      </c>
    </row>
    <row r="139">
      <c r="A139" s="44" t="inlineStr">
        <is>
          <t>9. ANALYTICS, ATTRIBUTION &amp; REVENUE</t>
        </is>
      </c>
      <c r="B139" s="47" t="inlineStr">
        <is>
          <t>SHOPIFY_STORE_DOMAIN</t>
        </is>
      </c>
      <c r="C139" s="50" t="inlineStr">
        <is>
          <t>Shopify</t>
        </is>
      </c>
      <c r="D139" s="44" t="inlineStr">
        <is>
          <t>Provider credential</t>
        </is>
      </c>
      <c r="E139" s="44" t="inlineStr">
        <is>
          <t>No — simulates if blank</t>
        </is>
      </c>
    </row>
    <row r="140">
      <c r="A140" s="44" t="inlineStr">
        <is>
          <t>9. ANALYTICS, ATTRIBUTION &amp; REVENUE</t>
        </is>
      </c>
      <c r="B140" s="47" t="inlineStr">
        <is>
          <t>SHOPIFY_ADMIN_ACCESS_TOKEN</t>
        </is>
      </c>
      <c r="C140" s="50" t="inlineStr">
        <is>
          <t>Shopify</t>
        </is>
      </c>
      <c r="D140" s="44" t="inlineStr">
        <is>
          <t>Provider credential</t>
        </is>
      </c>
      <c r="E140" s="44" t="inlineStr">
        <is>
          <t>No — simulates if blank</t>
        </is>
      </c>
    </row>
    <row r="141">
      <c r="A141" s="44" t="inlineStr">
        <is>
          <t>9. ANALYTICS, ATTRIBUTION &amp; REVENUE</t>
        </is>
      </c>
      <c r="B141" s="47" t="inlineStr">
        <is>
          <t>SHOPIFY_API_VERSION</t>
        </is>
      </c>
      <c r="C141" s="50" t="inlineStr">
        <is>
          <t>Shopify</t>
        </is>
      </c>
      <c r="D141" s="44" t="inlineStr">
        <is>
          <t>Provider credential</t>
        </is>
      </c>
      <c r="E141" s="44" t="inlineStr">
        <is>
          <t>No — simulates if blank</t>
        </is>
      </c>
    </row>
    <row r="142">
      <c r="A142" s="44" t="inlineStr">
        <is>
          <t>9. ANALYTICS, ATTRIBUTION &amp; REVENUE</t>
        </is>
      </c>
      <c r="B142" s="47" t="inlineStr">
        <is>
          <t>SEGMENT_WRITE_KEY</t>
        </is>
      </c>
      <c r="C142" s="50" t="inlineStr">
        <is>
          <t>Segment</t>
        </is>
      </c>
      <c r="D142" s="44" t="inlineStr">
        <is>
          <t>Provider credential</t>
        </is>
      </c>
      <c r="E142" s="44" t="inlineStr">
        <is>
          <t>No — simulates if blank</t>
        </is>
      </c>
    </row>
    <row r="143">
      <c r="A143" s="44" t="inlineStr">
        <is>
          <t>9. ANALYTICS, ATTRIBUTION &amp; REVENUE</t>
        </is>
      </c>
      <c r="B143" s="47" t="inlineStr">
        <is>
          <t>MIXPANEL_PROJECT_TOKEN</t>
        </is>
      </c>
      <c r="C143" s="50" t="inlineStr">
        <is>
          <t>Mixpanel</t>
        </is>
      </c>
      <c r="D143" s="44" t="inlineStr">
        <is>
          <t>Provider credential</t>
        </is>
      </c>
      <c r="E143" s="44" t="inlineStr">
        <is>
          <t>No — simulates if blank</t>
        </is>
      </c>
    </row>
    <row r="144">
      <c r="A144" s="44" t="inlineStr">
        <is>
          <t>9. ANALYTICS, ATTRIBUTION &amp; REVENUE</t>
        </is>
      </c>
      <c r="B144" s="47" t="inlineStr">
        <is>
          <t>POSTHOG_API_KEY</t>
        </is>
      </c>
      <c r="C144" s="50" t="inlineStr">
        <is>
          <t>PostHog</t>
        </is>
      </c>
      <c r="D144" s="44" t="inlineStr">
        <is>
          <t>Provider credential</t>
        </is>
      </c>
      <c r="E144" s="44" t="inlineStr">
        <is>
          <t>No — simulates if blank</t>
        </is>
      </c>
    </row>
    <row r="145">
      <c r="A145" s="44" t="inlineStr">
        <is>
          <t>9. ANALYTICS, ATTRIBUTION &amp; REVENUE</t>
        </is>
      </c>
      <c r="B145" s="47" t="inlineStr">
        <is>
          <t>POSTHOG_HOST</t>
        </is>
      </c>
      <c r="C145" s="50" t="inlineStr">
        <is>
          <t>PostHog</t>
        </is>
      </c>
      <c r="D145" s="44" t="inlineStr">
        <is>
          <t>Provider credential</t>
        </is>
      </c>
      <c r="E145" s="44" t="inlineStr">
        <is>
          <t>No — simulates if blank</t>
        </is>
      </c>
    </row>
    <row r="146">
      <c r="A146" s="44" t="inlineStr">
        <is>
          <t>9. ANALYTICS, ATTRIBUTION &amp; REVENUE</t>
        </is>
      </c>
      <c r="B146" s="47" t="inlineStr">
        <is>
          <t>BIGQUERY_PROJECT_ID</t>
        </is>
      </c>
      <c r="C146" s="50" t="inlineStr">
        <is>
          <t>Google Cloud (optional warehouse)</t>
        </is>
      </c>
      <c r="D146" s="44" t="inlineStr">
        <is>
          <t>Provider credential</t>
        </is>
      </c>
      <c r="E146" s="44" t="inlineStr">
        <is>
          <t>No — simulates if blank</t>
        </is>
      </c>
    </row>
    <row r="147">
      <c r="A147" s="44" t="inlineStr">
        <is>
          <t>9. ANALYTICS, ATTRIBUTION &amp; REVENUE</t>
        </is>
      </c>
      <c r="B147" s="47" t="inlineStr">
        <is>
          <t>BIGQUERY_DATASET</t>
        </is>
      </c>
      <c r="C147" s="50" t="inlineStr">
        <is>
          <t>Google Cloud (optional warehouse)</t>
        </is>
      </c>
      <c r="D147" s="44" t="inlineStr">
        <is>
          <t>Provider credential</t>
        </is>
      </c>
      <c r="E147" s="44" t="inlineStr">
        <is>
          <t>No — simulates if blank</t>
        </is>
      </c>
    </row>
    <row r="148">
      <c r="A148" s="44" t="inlineStr">
        <is>
          <t>9. ANALYTICS, ATTRIBUTION &amp; REVENUE</t>
        </is>
      </c>
      <c r="B148" s="47" t="inlineStr">
        <is>
          <t>SNOWFLAKE_ACCOUNT</t>
        </is>
      </c>
      <c r="C148" s="50" t="inlineStr">
        <is>
          <t>Snowflake (optional warehouse)</t>
        </is>
      </c>
      <c r="D148" s="44" t="inlineStr">
        <is>
          <t>Provider credential</t>
        </is>
      </c>
      <c r="E148" s="44" t="inlineStr">
        <is>
          <t>No — simulates if blank</t>
        </is>
      </c>
    </row>
    <row r="149">
      <c r="A149" s="44" t="inlineStr">
        <is>
          <t>9. ANALYTICS, ATTRIBUTION &amp; REVENUE</t>
        </is>
      </c>
      <c r="B149" s="47" t="inlineStr">
        <is>
          <t>SNOWFLAKE_USER</t>
        </is>
      </c>
      <c r="C149" s="50" t="inlineStr">
        <is>
          <t>Snowflake (optional warehouse)</t>
        </is>
      </c>
      <c r="D149" s="44" t="inlineStr">
        <is>
          <t>Provider credential</t>
        </is>
      </c>
      <c r="E149" s="44" t="inlineStr">
        <is>
          <t>No — simulates if blank</t>
        </is>
      </c>
    </row>
    <row r="150">
      <c r="A150" s="44" t="inlineStr">
        <is>
          <t>9. ANALYTICS, ATTRIBUTION &amp; REVENUE</t>
        </is>
      </c>
      <c r="B150" s="47" t="inlineStr">
        <is>
          <t>SNOWFLAKE_PASSWORD</t>
        </is>
      </c>
      <c r="C150" s="50" t="inlineStr">
        <is>
          <t>Snowflake (optional warehouse)</t>
        </is>
      </c>
      <c r="D150" s="44" t="inlineStr">
        <is>
          <t>Provider credential</t>
        </is>
      </c>
      <c r="E150" s="44" t="inlineStr">
        <is>
          <t>No — simulates if blank</t>
        </is>
      </c>
    </row>
    <row r="151">
      <c r="A151" s="44" t="inlineStr">
        <is>
          <t>10. SEO &amp; CONTENT INTELLIGENCE  (SEO Agent, Market / Competitor Intelligence)</t>
        </is>
      </c>
      <c r="B151" s="47" t="inlineStr">
        <is>
          <t>SEMRUSH_API_KEY</t>
        </is>
      </c>
      <c r="C151" s="50" t="inlineStr">
        <is>
          <t>Semrush</t>
        </is>
      </c>
      <c r="D151" s="44" t="inlineStr">
        <is>
          <t>Provider credential</t>
        </is>
      </c>
      <c r="E151" s="44" t="inlineStr">
        <is>
          <t>No — simulates if blank</t>
        </is>
      </c>
    </row>
    <row r="152">
      <c r="A152" s="44" t="inlineStr">
        <is>
          <t>10. SEO &amp; CONTENT INTELLIGENCE  (SEO Agent, Market / Competitor Intelligence)</t>
        </is>
      </c>
      <c r="B152" s="47" t="inlineStr">
        <is>
          <t>AHREFS_API_KEY</t>
        </is>
      </c>
      <c r="C152" s="50" t="inlineStr">
        <is>
          <t>Ahrefs</t>
        </is>
      </c>
      <c r="D152" s="44" t="inlineStr">
        <is>
          <t>Provider credential</t>
        </is>
      </c>
      <c r="E152" s="44" t="inlineStr">
        <is>
          <t>No — simulates if blank</t>
        </is>
      </c>
    </row>
    <row r="153">
      <c r="A153" s="44" t="inlineStr">
        <is>
          <t>10. SEO &amp; CONTENT INTELLIGENCE  (SEO Agent, Market / Competitor Intelligence)</t>
        </is>
      </c>
      <c r="B153" s="47" t="inlineStr">
        <is>
          <t>SERPAPI_API_KEY</t>
        </is>
      </c>
      <c r="C153" s="50" t="inlineStr">
        <is>
          <t>SerpApi</t>
        </is>
      </c>
      <c r="D153" s="44" t="inlineStr">
        <is>
          <t>Provider credential</t>
        </is>
      </c>
      <c r="E153" s="44" t="inlineStr">
        <is>
          <t>No — simulates if blank</t>
        </is>
      </c>
    </row>
    <row r="154">
      <c r="A154" s="44" t="inlineStr">
        <is>
          <t>10. SEO &amp; CONTENT INTELLIGENCE  (SEO Agent, Market / Competitor Intelligence)</t>
        </is>
      </c>
      <c r="B154" s="47" t="inlineStr">
        <is>
          <t>DATAFORSEO_LOGIN</t>
        </is>
      </c>
      <c r="C154" s="50" t="inlineStr">
        <is>
          <t>DataForSEO</t>
        </is>
      </c>
      <c r="D154" s="44" t="inlineStr">
        <is>
          <t>Provider credential</t>
        </is>
      </c>
      <c r="E154" s="44" t="inlineStr">
        <is>
          <t>No — simulates if blank</t>
        </is>
      </c>
    </row>
    <row r="155">
      <c r="A155" s="44" t="inlineStr">
        <is>
          <t>10. SEO &amp; CONTENT INTELLIGENCE  (SEO Agent, Market / Competitor Intelligence)</t>
        </is>
      </c>
      <c r="B155" s="47" t="inlineStr">
        <is>
          <t>DATAFORSEO_PASSWORD</t>
        </is>
      </c>
      <c r="C155" s="50" t="inlineStr">
        <is>
          <t>DataForSEO</t>
        </is>
      </c>
      <c r="D155" s="44" t="inlineStr">
        <is>
          <t>Provider credential</t>
        </is>
      </c>
      <c r="E155" s="44" t="inlineStr">
        <is>
          <t>No — simulates if blank</t>
        </is>
      </c>
    </row>
    <row r="156">
      <c r="A156" s="44" t="inlineStr">
        <is>
          <t>10. SEO &amp; CONTENT INTELLIGENCE  (SEO Agent, Market / Competitor Intelligence)</t>
        </is>
      </c>
      <c r="B156" s="47" t="inlineStr">
        <is>
          <t>FIRECRAWL_API_KEY</t>
        </is>
      </c>
      <c r="C156" s="50" t="inlineStr">
        <is>
          <t>Firecrawl</t>
        </is>
      </c>
      <c r="D156" s="44" t="inlineStr">
        <is>
          <t>Provider credential</t>
        </is>
      </c>
      <c r="E156" s="44" t="inlineStr">
        <is>
          <t>No — simulates if blank</t>
        </is>
      </c>
    </row>
    <row r="157">
      <c r="A157" s="44" t="inlineStr">
        <is>
          <t>10. SEO &amp; CONTENT INTELLIGENCE  (SEO Agent, Market / Competitor Intelligence)</t>
        </is>
      </c>
      <c r="B157" s="47" t="inlineStr">
        <is>
          <t>TAVILY_API_KEY</t>
        </is>
      </c>
      <c r="C157" s="50" t="inlineStr">
        <is>
          <t>Tavily</t>
        </is>
      </c>
      <c r="D157" s="44" t="inlineStr">
        <is>
          <t>Provider credential</t>
        </is>
      </c>
      <c r="E157" s="44" t="inlineStr">
        <is>
          <t>No — simulates if blank</t>
        </is>
      </c>
    </row>
    <row r="158">
      <c r="A158" s="44" t="inlineStr">
        <is>
          <t>10. SEO &amp; CONTENT INTELLIGENCE  (SEO Agent, Market / Competitor Intelligence)</t>
        </is>
      </c>
      <c r="B158" s="47" t="inlineStr">
        <is>
          <t>EXA_API_KEY</t>
        </is>
      </c>
      <c r="C158" s="50" t="inlineStr">
        <is>
          <t>Exa</t>
        </is>
      </c>
      <c r="D158" s="44" t="inlineStr">
        <is>
          <t>Provider credential</t>
        </is>
      </c>
      <c r="E158" s="44" t="inlineStr">
        <is>
          <t>No — simulates if blank</t>
        </is>
      </c>
    </row>
    <row r="159">
      <c r="A159" s="44" t="inlineStr">
        <is>
          <t>10. SEO &amp; CONTENT INTELLIGENCE  (SEO Agent, Market / Competitor Intelligence)</t>
        </is>
      </c>
      <c r="B159" s="47" t="inlineStr">
        <is>
          <t>BRAVE_SEARCH_API_KEY</t>
        </is>
      </c>
      <c r="C159" s="50" t="inlineStr">
        <is>
          <t>Brave Search (alternative to Tavily)</t>
        </is>
      </c>
      <c r="D159" s="44" t="inlineStr">
        <is>
          <t>Provider credential</t>
        </is>
      </c>
      <c r="E159" s="44" t="inlineStr">
        <is>
          <t>No — simulates if blank</t>
        </is>
      </c>
    </row>
    <row r="160">
      <c r="A160" s="44" t="inlineStr">
        <is>
          <t>10. SEO &amp; CONTENT INTELLIGENCE  (SEO Agent, Market / Competitor Intelligence)</t>
        </is>
      </c>
      <c r="B160" s="47" t="inlineStr">
        <is>
          <t>NEWSAPI_KEY</t>
        </is>
      </c>
      <c r="C160" s="50" t="inlineStr">
        <is>
          <t>NewsAPI</t>
        </is>
      </c>
      <c r="D160" s="44" t="inlineStr">
        <is>
          <t>Provider credential</t>
        </is>
      </c>
      <c r="E160" s="44" t="inlineStr">
        <is>
          <t>No — simulates if blank</t>
        </is>
      </c>
    </row>
    <row r="161">
      <c r="A161" s="44" t="inlineStr">
        <is>
          <t>10. SEO &amp; CONTENT INTELLIGENCE  (SEO Agent, Market / Competitor Intelligence)</t>
        </is>
      </c>
      <c r="B161" s="47" t="inlineStr">
        <is>
          <t>META_AD_LIBRARY_ACCESS_TOKEN</t>
        </is>
      </c>
      <c r="C161" s="50" t="inlineStr">
        <is>
          <t>Meta Ads (usually the same token)</t>
        </is>
      </c>
      <c r="D161" s="44" t="inlineStr">
        <is>
          <t>Provider credential</t>
        </is>
      </c>
      <c r="E161" s="44" t="inlineStr">
        <is>
          <t>No — simulates if blank</t>
        </is>
      </c>
    </row>
    <row r="162">
      <c r="A162" s="44" t="inlineStr">
        <is>
          <t>10. SEO &amp; CONTENT INTELLIGENCE  (SEO Agent, Market / Competitor Intelligence)</t>
        </is>
      </c>
      <c r="B162" s="47" t="inlineStr">
        <is>
          <t>WORDPRESS_URL</t>
        </is>
      </c>
      <c r="C162" s="50" t="inlineStr">
        <is>
          <t>WordPress</t>
        </is>
      </c>
      <c r="D162" s="44" t="inlineStr">
        <is>
          <t>Provider credential</t>
        </is>
      </c>
      <c r="E162" s="44" t="inlineStr">
        <is>
          <t>No — simulates if blank</t>
        </is>
      </c>
    </row>
    <row r="163">
      <c r="A163" s="44" t="inlineStr">
        <is>
          <t>10. SEO &amp; CONTENT INTELLIGENCE  (SEO Agent, Market / Competitor Intelligence)</t>
        </is>
      </c>
      <c r="B163" s="47" t="inlineStr">
        <is>
          <t>WORDPRESS_USERNAME</t>
        </is>
      </c>
      <c r="C163" s="50" t="inlineStr">
        <is>
          <t>WordPress</t>
        </is>
      </c>
      <c r="D163" s="44" t="inlineStr">
        <is>
          <t>Provider credential</t>
        </is>
      </c>
      <c r="E163" s="44" t="inlineStr">
        <is>
          <t>No — simulates if blank</t>
        </is>
      </c>
    </row>
    <row r="164">
      <c r="A164" s="44" t="inlineStr">
        <is>
          <t>10. SEO &amp; CONTENT INTELLIGENCE  (SEO Agent, Market / Competitor Intelligence)</t>
        </is>
      </c>
      <c r="B164" s="47" t="inlineStr">
        <is>
          <t>WORDPRESS_APP_PASSWORD</t>
        </is>
      </c>
      <c r="C164" s="50" t="inlineStr">
        <is>
          <t>WordPress</t>
        </is>
      </c>
      <c r="D164" s="44" t="inlineStr">
        <is>
          <t>Provider credential</t>
        </is>
      </c>
      <c r="E164" s="44" t="inlineStr">
        <is>
          <t>No — simulates if blank</t>
        </is>
      </c>
    </row>
    <row r="165">
      <c r="A165" s="44" t="inlineStr">
        <is>
          <t>10. SEO &amp; CONTENT INTELLIGENCE  (SEO Agent, Market / Competitor Intelligence)</t>
        </is>
      </c>
      <c r="B165" s="47" t="inlineStr">
        <is>
          <t>WEBFLOW_API_TOKEN</t>
        </is>
      </c>
      <c r="C165" s="50" t="inlineStr">
        <is>
          <t>Webflow</t>
        </is>
      </c>
      <c r="D165" s="44" t="inlineStr">
        <is>
          <t>Provider credential</t>
        </is>
      </c>
      <c r="E165" s="44" t="inlineStr">
        <is>
          <t>No — simulates if blank</t>
        </is>
      </c>
    </row>
    <row r="166">
      <c r="A166" s="44" t="inlineStr">
        <is>
          <t>10. SEO &amp; CONTENT INTELLIGENCE  (SEO Agent, Market / Competitor Intelligence)</t>
        </is>
      </c>
      <c r="B166" s="47" t="inlineStr">
        <is>
          <t>WEBFLOW_SITE_ID</t>
        </is>
      </c>
      <c r="C166" s="50" t="inlineStr">
        <is>
          <t>Webflow</t>
        </is>
      </c>
      <c r="D166" s="44" t="inlineStr">
        <is>
          <t>Provider credential</t>
        </is>
      </c>
      <c r="E166" s="44" t="inlineStr">
        <is>
          <t>No — simulates if blank</t>
        </is>
      </c>
    </row>
    <row r="167">
      <c r="A167" s="44" t="inlineStr">
        <is>
          <t>11. LANDING PAGES / CRO / HOSTING</t>
        </is>
      </c>
      <c r="B167" s="47" t="inlineStr">
        <is>
          <t>LANDING_PAGE_DOMAIN</t>
        </is>
      </c>
      <c r="C167" s="50" t="inlineStr">
        <is>
          <t>Vercel</t>
        </is>
      </c>
      <c r="D167" s="44" t="inlineStr">
        <is>
          <t>Provider credential</t>
        </is>
      </c>
      <c r="E167" s="44" t="inlineStr">
        <is>
          <t>No — simulates if blank</t>
        </is>
      </c>
    </row>
    <row r="168">
      <c r="A168" s="44" t="inlineStr">
        <is>
          <t>11. LANDING PAGES / CRO / HOSTING</t>
        </is>
      </c>
      <c r="B168" s="47" t="inlineStr">
        <is>
          <t>VERCEL_TOKEN</t>
        </is>
      </c>
      <c r="C168" s="50" t="inlineStr">
        <is>
          <t>Vercel</t>
        </is>
      </c>
      <c r="D168" s="44" t="inlineStr">
        <is>
          <t>Provider credential</t>
        </is>
      </c>
      <c r="E168" s="44" t="inlineStr">
        <is>
          <t>No — simulates if blank</t>
        </is>
      </c>
    </row>
    <row r="169">
      <c r="A169" s="44" t="inlineStr">
        <is>
          <t>11. LANDING PAGES / CRO / HOSTING</t>
        </is>
      </c>
      <c r="B169" s="47" t="inlineStr">
        <is>
          <t>VERCEL_PROJECT_ID</t>
        </is>
      </c>
      <c r="C169" s="50" t="inlineStr">
        <is>
          <t>Vercel</t>
        </is>
      </c>
      <c r="D169" s="44" t="inlineStr">
        <is>
          <t>Provider credential</t>
        </is>
      </c>
      <c r="E169" s="44" t="inlineStr">
        <is>
          <t>No — simulates if blank</t>
        </is>
      </c>
    </row>
    <row r="170">
      <c r="A170" s="44" t="inlineStr">
        <is>
          <t>11. LANDING PAGES / CRO / HOSTING</t>
        </is>
      </c>
      <c r="B170" s="47" t="inlineStr">
        <is>
          <t>CLOUDFLARE_API_TOKEN</t>
        </is>
      </c>
      <c r="C170" s="50" t="inlineStr">
        <is>
          <t>Cloudflare (DNS for landing pages)</t>
        </is>
      </c>
      <c r="D170" s="44" t="inlineStr">
        <is>
          <t>Provider credential</t>
        </is>
      </c>
      <c r="E170" s="44" t="inlineStr">
        <is>
          <t>No — simulates if blank</t>
        </is>
      </c>
    </row>
    <row r="171">
      <c r="A171" s="44" t="inlineStr">
        <is>
          <t>11. LANDING PAGES / CRO / HOSTING</t>
        </is>
      </c>
      <c r="B171" s="47" t="inlineStr">
        <is>
          <t>CLOUDFLARE_ZONE_ID</t>
        </is>
      </c>
      <c r="C171" s="50" t="inlineStr">
        <is>
          <t>Cloudflare (DNS for landing pages)</t>
        </is>
      </c>
      <c r="D171" s="44" t="inlineStr">
        <is>
          <t>Provider credential</t>
        </is>
      </c>
      <c r="E171" s="44" t="inlineStr">
        <is>
          <t>No — simulates if blank</t>
        </is>
      </c>
    </row>
    <row r="172">
      <c r="A172" s="44" t="inlineStr">
        <is>
          <t>11. LANDING PAGES / CRO / HOSTING</t>
        </is>
      </c>
      <c r="B172" s="47" t="inlineStr">
        <is>
          <t>VWO_ACCOUNT_ID</t>
        </is>
      </c>
      <c r="C172" s="50" t="inlineStr">
        <is>
          <t>VWO</t>
        </is>
      </c>
      <c r="D172" s="44" t="inlineStr">
        <is>
          <t>Provider credential</t>
        </is>
      </c>
      <c r="E172" s="44" t="inlineStr">
        <is>
          <t>No — simulates if blank</t>
        </is>
      </c>
    </row>
    <row r="173">
      <c r="A173" s="44" t="inlineStr">
        <is>
          <t>11. LANDING PAGES / CRO / HOSTING</t>
        </is>
      </c>
      <c r="B173" s="47" t="inlineStr">
        <is>
          <t>VWO_API_TOKEN</t>
        </is>
      </c>
      <c r="C173" s="50" t="inlineStr">
        <is>
          <t>VWO</t>
        </is>
      </c>
      <c r="D173" s="44" t="inlineStr">
        <is>
          <t>Provider credential</t>
        </is>
      </c>
      <c r="E173" s="44" t="inlineStr">
        <is>
          <t>No — simulates if blank</t>
        </is>
      </c>
    </row>
    <row r="174">
      <c r="A174" s="44" t="inlineStr">
        <is>
          <t>11. LANDING PAGES / CRO / HOSTING</t>
        </is>
      </c>
      <c r="B174" s="47" t="inlineStr">
        <is>
          <t>HOTJAR_SITE_ID</t>
        </is>
      </c>
      <c r="C174" s="50" t="inlineStr">
        <is>
          <t>Hotjar (optional heatmaps)</t>
        </is>
      </c>
      <c r="D174" s="44" t="inlineStr">
        <is>
          <t>Provider credential</t>
        </is>
      </c>
      <c r="E174" s="44" t="inlineStr">
        <is>
          <t>No — simulates if blank</t>
        </is>
      </c>
    </row>
    <row r="175">
      <c r="A175" s="44" t="inlineStr">
        <is>
          <t>11. LANDING PAGES / CRO / HOSTING</t>
        </is>
      </c>
      <c r="B175" s="47" t="inlineStr">
        <is>
          <t>MICROSOFT_CLARITY_PROJECT_ID</t>
        </is>
      </c>
      <c r="C175" s="50" t="inlineStr">
        <is>
          <t>Microsoft Clarity (free heatmaps)</t>
        </is>
      </c>
      <c r="D175" s="44" t="inlineStr">
        <is>
          <t>Provider credential</t>
        </is>
      </c>
      <c r="E175" s="44" t="inlineStr">
        <is>
          <t>No — simulates if blank</t>
        </is>
      </c>
    </row>
    <row r="176">
      <c r="A176" s="44" t="inlineStr">
        <is>
          <t>12. STORAGE, QUEUES &amp; OBSERVABILITY</t>
        </is>
      </c>
      <c r="B176" s="47" t="inlineStr">
        <is>
          <t>STORAGE_BACKEND</t>
        </is>
      </c>
      <c r="C176" s="50" t="inlineStr">
        <is>
          <t>AWS S3 / Cloudflare R2</t>
        </is>
      </c>
      <c r="D176" s="44" t="inlineStr">
        <is>
          <t>Provider credential</t>
        </is>
      </c>
      <c r="E176" s="44" t="inlineStr">
        <is>
          <t>No — simulates if blank</t>
        </is>
      </c>
    </row>
    <row r="177">
      <c r="A177" s="44" t="inlineStr">
        <is>
          <t>12. STORAGE, QUEUES &amp; OBSERVABILITY</t>
        </is>
      </c>
      <c r="B177" s="47" t="inlineStr">
        <is>
          <t>AWS_ACCESS_KEY_ID</t>
        </is>
      </c>
      <c r="C177" s="50" t="inlineStr">
        <is>
          <t>AWS S3 / Cloudflare R2</t>
        </is>
      </c>
      <c r="D177" s="44" t="inlineStr">
        <is>
          <t>Provider credential</t>
        </is>
      </c>
      <c r="E177" s="44" t="inlineStr">
        <is>
          <t>No — simulates if blank</t>
        </is>
      </c>
    </row>
    <row r="178">
      <c r="A178" s="44" t="inlineStr">
        <is>
          <t>12. STORAGE, QUEUES &amp; OBSERVABILITY</t>
        </is>
      </c>
      <c r="B178" s="47" t="inlineStr">
        <is>
          <t>AWS_SECRET_ACCESS_KEY</t>
        </is>
      </c>
      <c r="C178" s="50" t="inlineStr">
        <is>
          <t>AWS S3 / Cloudflare R2</t>
        </is>
      </c>
      <c r="D178" s="44" t="inlineStr">
        <is>
          <t>Provider credential</t>
        </is>
      </c>
      <c r="E178" s="44" t="inlineStr">
        <is>
          <t>No — simulates if blank</t>
        </is>
      </c>
    </row>
    <row r="179">
      <c r="A179" s="44" t="inlineStr">
        <is>
          <t>12. STORAGE, QUEUES &amp; OBSERVABILITY</t>
        </is>
      </c>
      <c r="B179" s="47" t="inlineStr">
        <is>
          <t>AWS_STORAGE_BUCKET_NAME</t>
        </is>
      </c>
      <c r="C179" s="50" t="inlineStr">
        <is>
          <t>AWS S3 / Cloudflare R2</t>
        </is>
      </c>
      <c r="D179" s="44" t="inlineStr">
        <is>
          <t>Provider credential</t>
        </is>
      </c>
      <c r="E179" s="44" t="inlineStr">
        <is>
          <t>No — simulates if blank</t>
        </is>
      </c>
    </row>
    <row r="180">
      <c r="A180" s="44" t="inlineStr">
        <is>
          <t>12. STORAGE, QUEUES &amp; OBSERVABILITY</t>
        </is>
      </c>
      <c r="B180" s="47" t="inlineStr">
        <is>
          <t>AWS_S3_REGION_NAME</t>
        </is>
      </c>
      <c r="C180" s="50" t="inlineStr">
        <is>
          <t>AWS S3 / Cloudflare R2</t>
        </is>
      </c>
      <c r="D180" s="44" t="inlineStr">
        <is>
          <t>Provider credential</t>
        </is>
      </c>
      <c r="E180" s="44" t="inlineStr">
        <is>
          <t>No — simulates if blank</t>
        </is>
      </c>
    </row>
    <row r="181">
      <c r="A181" s="44" t="inlineStr">
        <is>
          <t>12. STORAGE, QUEUES &amp; OBSERVABILITY</t>
        </is>
      </c>
      <c r="B181" s="47" t="inlineStr">
        <is>
          <t>R2_ACCOUNT_ID</t>
        </is>
      </c>
      <c r="C181" s="50" t="inlineStr">
        <is>
          <t>Cloudflare R2 (storage)</t>
        </is>
      </c>
      <c r="D181" s="44" t="inlineStr">
        <is>
          <t>Provider credential</t>
        </is>
      </c>
      <c r="E181" s="44" t="inlineStr">
        <is>
          <t>No — simulates if blank</t>
        </is>
      </c>
    </row>
    <row r="182">
      <c r="A182" s="44" t="inlineStr">
        <is>
          <t>12. STORAGE, QUEUES &amp; OBSERVABILITY</t>
        </is>
      </c>
      <c r="B182" s="47" t="inlineStr">
        <is>
          <t>SENTRY_DSN</t>
        </is>
      </c>
      <c r="C182" s="50" t="inlineStr">
        <is>
          <t>Sentry</t>
        </is>
      </c>
      <c r="D182" s="44" t="inlineStr">
        <is>
          <t>Provider credential</t>
        </is>
      </c>
      <c r="E182" s="44" t="inlineStr">
        <is>
          <t>No — simulates if blank</t>
        </is>
      </c>
    </row>
    <row r="183">
      <c r="A183" s="44" t="inlineStr">
        <is>
          <t>12. STORAGE, QUEUES &amp; OBSERVABILITY</t>
        </is>
      </c>
      <c r="B183" s="47" t="inlineStr">
        <is>
          <t>LOG_LEVEL</t>
        </is>
      </c>
      <c r="C183" s="48" t="inlineStr">
        <is>
          <t>—</t>
        </is>
      </c>
      <c r="D183" s="44" t="inlineStr">
        <is>
          <t>Platform setting</t>
        </is>
      </c>
      <c r="E183" s="44" t="inlineStr">
        <is>
          <t>Has a default</t>
        </is>
      </c>
    </row>
    <row r="184">
      <c r="A184" s="44" t="inlineStr">
        <is>
          <t>12. STORAGE, QUEUES &amp; OBSERVABILITY</t>
        </is>
      </c>
      <c r="B184" s="47" t="inlineStr">
        <is>
          <t>SLACK_BOT_TOKEN</t>
        </is>
      </c>
      <c r="C184" s="50" t="inlineStr">
        <is>
          <t>Slack</t>
        </is>
      </c>
      <c r="D184" s="44" t="inlineStr">
        <is>
          <t>Provider credential</t>
        </is>
      </c>
      <c r="E184" s="44" t="inlineStr">
        <is>
          <t>No — simulates if blank</t>
        </is>
      </c>
    </row>
    <row r="185">
      <c r="A185" s="44" t="inlineStr">
        <is>
          <t>12. STORAGE, QUEUES &amp; OBSERVABILITY</t>
        </is>
      </c>
      <c r="B185" s="47" t="inlineStr">
        <is>
          <t>SLACK_ALERTS_CHANNEL</t>
        </is>
      </c>
      <c r="C185" s="50" t="inlineStr">
        <is>
          <t>Slack</t>
        </is>
      </c>
      <c r="D185" s="44" t="inlineStr">
        <is>
          <t>Provider credential</t>
        </is>
      </c>
      <c r="E185" s="44" t="inlineStr">
        <is>
          <t>No — simulates if blank</t>
        </is>
      </c>
    </row>
    <row r="186">
      <c r="A186" s="44" t="inlineStr">
        <is>
          <t>12. STORAGE, QUEUES &amp; OBSERVABILITY</t>
        </is>
      </c>
      <c r="B186" s="47" t="inlineStr">
        <is>
          <t>SLACK_SIGNING_SECRET</t>
        </is>
      </c>
      <c r="C186" s="50" t="inlineStr">
        <is>
          <t>Slack</t>
        </is>
      </c>
      <c r="D186" s="44" t="inlineStr">
        <is>
          <t>Provider credential</t>
        </is>
      </c>
      <c r="E186" s="44" t="inlineStr">
        <is>
          <t>No — simulates if blank</t>
        </is>
      </c>
    </row>
    <row r="187">
      <c r="A187" s="44" t="inlineStr">
        <is>
          <t>13. HUMAN CONTROL DEFAULTS  (overridable per workspace in Settings)</t>
        </is>
      </c>
      <c r="B187" s="47" t="inlineStr">
        <is>
          <t>DEFAULT_CONTROL_MODE</t>
        </is>
      </c>
      <c r="C187" s="48" t="inlineStr">
        <is>
          <t>—</t>
        </is>
      </c>
      <c r="D187" s="44" t="inlineStr">
        <is>
          <t>Platform setting</t>
        </is>
      </c>
      <c r="E187" s="44" t="inlineStr">
        <is>
          <t>Has a default</t>
        </is>
      </c>
    </row>
    <row r="188">
      <c r="A188" s="44" t="inlineStr">
        <is>
          <t>13. HUMAN CONTROL DEFAULTS  (overridable per workspace in Settings)</t>
        </is>
      </c>
      <c r="B188" s="47" t="inlineStr">
        <is>
          <t>DEFAULT_DAILY_SPEND_CAP</t>
        </is>
      </c>
      <c r="C188" s="48" t="inlineStr">
        <is>
          <t>—</t>
        </is>
      </c>
      <c r="D188" s="44" t="inlineStr">
        <is>
          <t>Platform setting</t>
        </is>
      </c>
      <c r="E188" s="44" t="inlineStr">
        <is>
          <t>Has a default</t>
        </is>
      </c>
    </row>
    <row r="189">
      <c r="A189" s="44" t="inlineStr">
        <is>
          <t>13. HUMAN CONTROL DEFAULTS  (overridable per workspace in Settings)</t>
        </is>
      </c>
      <c r="B189" s="47" t="inlineStr">
        <is>
          <t>DEFAULT_CURRENCY</t>
        </is>
      </c>
      <c r="C189" s="48" t="inlineStr">
        <is>
          <t>—</t>
        </is>
      </c>
      <c r="D189" s="44" t="inlineStr">
        <is>
          <t>Platform setting</t>
        </is>
      </c>
      <c r="E189" s="44" t="inlineStr">
        <is>
          <t>Has a default</t>
        </is>
      </c>
    </row>
    <row r="190">
      <c r="A190" s="44" t="inlineStr">
        <is>
          <t>13. HUMAN CONTROL DEFAULTS  (overridable per workspace in Settings)</t>
        </is>
      </c>
      <c r="B190" s="47" t="inlineStr">
        <is>
          <t>AI_CAN_CHANGE_PRICING</t>
        </is>
      </c>
      <c r="C190" s="48" t="inlineStr">
        <is>
          <t>—</t>
        </is>
      </c>
      <c r="D190" s="44" t="inlineStr">
        <is>
          <t>Platform setting</t>
        </is>
      </c>
      <c r="E190" s="44" t="inlineStr">
        <is>
          <t>Has a default</t>
        </is>
      </c>
    </row>
    <row r="191">
      <c r="A191" s="44" t="inlineStr">
        <is>
          <t>13. HUMAN CONTROL DEFAULTS  (overridable per workspace in Settings)</t>
        </is>
      </c>
      <c r="B191" s="47" t="inlineStr">
        <is>
          <t>AI_CAN_EMAIL_UNAPPROVED_ICPS</t>
        </is>
      </c>
      <c r="C191" s="48" t="inlineStr">
        <is>
          <t>—</t>
        </is>
      </c>
      <c r="D191" s="44" t="inlineStr">
        <is>
          <t>Platform setting</t>
        </is>
      </c>
      <c r="E191" s="44" t="inlineStr">
        <is>
          <t>Has a default</t>
        </is>
      </c>
    </row>
    <row r="192">
      <c r="A192" s="44" t="inlineStr">
        <is>
          <t>13. HUMAN CONTROL DEFAULTS  (overridable per workspace in Settings)</t>
        </is>
      </c>
      <c r="B192" s="47" t="inlineStr">
        <is>
          <t>COMPLIANCE_GATE_REQUIRED</t>
        </is>
      </c>
      <c r="C192" s="48" t="inlineStr">
        <is>
          <t>—</t>
        </is>
      </c>
      <c r="D192" s="44" t="inlineStr">
        <is>
          <t>Platform setting</t>
        </is>
      </c>
      <c r="E192" s="44" t="inlineStr">
        <is>
          <t>Has a default</t>
        </is>
      </c>
    </row>
    <row r="193">
      <c r="A193" s="44" t="inlineStr">
        <is>
          <t>13. HUMAN CONTROL DEFAULTS  (overridable per workspace in Settings)</t>
        </is>
      </c>
      <c r="B193" s="47" t="inlineStr">
        <is>
          <t>REGULATED_VERTICAL</t>
        </is>
      </c>
      <c r="C193" s="48" t="inlineStr">
        <is>
          <t>—</t>
        </is>
      </c>
      <c r="D193" s="44" t="inlineStr">
        <is>
          <t>Platform setting</t>
        </is>
      </c>
      <c r="E193" s="44" t="inlineStr">
        <is>
          <t>Has a default</t>
        </is>
      </c>
    </row>
    <row r="194">
      <c r="A194" s="44" t="inlineStr">
        <is>
          <t>14. FRONTEND  (Vite reads only VITE_* vars - these live in frontend/.env)</t>
        </is>
      </c>
      <c r="B194" s="47" t="inlineStr">
        <is>
          <t>VITE_API_URL</t>
        </is>
      </c>
      <c r="C194" s="48" t="inlineStr">
        <is>
          <t>—</t>
        </is>
      </c>
      <c r="D194" s="44" t="inlineStr">
        <is>
          <t>Frontend setting</t>
        </is>
      </c>
      <c r="E194" s="44" t="inlineStr">
        <is>
          <t>Has a default</t>
        </is>
      </c>
    </row>
    <row r="195">
      <c r="A195" s="44" t="inlineStr">
        <is>
          <t>14. FRONTEND  (Vite reads only VITE_* vars - these live in frontend/.env)</t>
        </is>
      </c>
      <c r="B195" s="47" t="inlineStr">
        <is>
          <t>VITE_APP_NAME</t>
        </is>
      </c>
      <c r="C195" s="48" t="inlineStr">
        <is>
          <t>—</t>
        </is>
      </c>
      <c r="D195" s="44" t="inlineStr">
        <is>
          <t>Frontend setting</t>
        </is>
      </c>
      <c r="E195" s="44" t="inlineStr">
        <is>
          <t>Has a default</t>
        </is>
      </c>
    </row>
    <row r="196">
      <c r="A196" s="44" t="inlineStr">
        <is>
          <t>14. FRONTEND  (Vite reads only VITE_* vars - these live in frontend/.env)</t>
        </is>
      </c>
      <c r="B196" s="47" t="inlineStr">
        <is>
          <t>VITE_DEMO_EMAIL</t>
        </is>
      </c>
      <c r="C196" s="48" t="inlineStr">
        <is>
          <t>—</t>
        </is>
      </c>
      <c r="D196" s="44" t="inlineStr">
        <is>
          <t>Frontend setting</t>
        </is>
      </c>
      <c r="E196" s="44" t="inlineStr">
        <is>
          <t>Has a default</t>
        </is>
      </c>
    </row>
    <row r="197">
      <c r="A197" s="44" t="inlineStr">
        <is>
          <t>14. FRONTEND  (Vite reads only VITE_* vars - these live in frontend/.env)</t>
        </is>
      </c>
      <c r="B197" s="47" t="inlineStr">
        <is>
          <t>VITE_DEMO_PASSWORD</t>
        </is>
      </c>
      <c r="C197" s="48" t="inlineStr">
        <is>
          <t>—</t>
        </is>
      </c>
      <c r="D197" s="44" t="inlineStr">
        <is>
          <t>Frontend setting</t>
        </is>
      </c>
      <c r="E197" s="44" t="inlineStr">
        <is>
          <t>Has a default</t>
        </is>
      </c>
    </row>
  </sheetData>
  <autoFilter ref="A4:E197"/>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GTM OS</dc:creator>
  <dc:title>AI GTM OS — API Acquisition Plan</dc:title>
  <dcterms:created xsi:type="dcterms:W3CDTF">2026-09-16T11:37:40Z</dcterms:created>
  <dcterms:modified xsi:type="dcterms:W3CDTF">2026-09-16T11:37:40Z</dcterms:modified>
</cp:coreProperties>
</file>